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Чернігів" sheetId="4" r:id="rId1"/>
    <sheet name="Ніжин" sheetId="5" r:id="rId2"/>
    <sheet name="Борщагівка" sheetId="6" r:id="rId3"/>
    <sheet name="Конотоп" sheetId="7" r:id="rId4"/>
    <sheet name="Лист1" sheetId="1" r:id="rId5"/>
    <sheet name="Лист2" sheetId="2" r:id="rId6"/>
    <sheet name="Лист3" sheetId="3" r:id="rId7"/>
  </sheets>
  <definedNames>
    <definedName name="_xlnm.Print_Area" localSheetId="2">Борщагівка!$A$1:$L$83</definedName>
    <definedName name="_xlnm.Print_Area" localSheetId="3">Конотоп!$A$1:$L$111</definedName>
    <definedName name="_xlnm.Print_Area" localSheetId="1">Ніжин!$A$1:$L$81</definedName>
    <definedName name="_xlnm.Print_Area" localSheetId="0">Чернігів!$A$1:$L$216</definedName>
  </definedNames>
  <calcPr calcId="145621" refMode="R1C1"/>
</workbook>
</file>

<file path=xl/calcChain.xml><?xml version="1.0" encoding="utf-8"?>
<calcChain xmlns="http://schemas.openxmlformats.org/spreadsheetml/2006/main">
  <c r="K146" i="4" l="1"/>
  <c r="F177" i="4"/>
  <c r="G177" i="4"/>
  <c r="H177" i="4"/>
  <c r="I177" i="4"/>
  <c r="J177" i="4"/>
  <c r="J178" i="4" s="1"/>
  <c r="K177" i="4"/>
  <c r="E177" i="4"/>
  <c r="E178" i="4" s="1"/>
  <c r="K178" i="4"/>
  <c r="Q18" i="3"/>
  <c r="P18" i="3"/>
  <c r="K167" i="4"/>
  <c r="E146" i="4"/>
  <c r="H199" i="4" l="1"/>
  <c r="G199" i="4"/>
  <c r="F199" i="4"/>
  <c r="E199" i="4"/>
  <c r="E188" i="4"/>
  <c r="E87" i="7" l="1"/>
  <c r="F94" i="7"/>
  <c r="G94" i="7"/>
  <c r="H94" i="7"/>
  <c r="I94" i="7"/>
  <c r="J94" i="7"/>
  <c r="K94" i="7"/>
  <c r="E94" i="7"/>
  <c r="F87" i="7"/>
  <c r="G87" i="7"/>
  <c r="H87" i="7"/>
  <c r="I87" i="7"/>
  <c r="J87" i="7"/>
  <c r="K87" i="7"/>
  <c r="F80" i="7"/>
  <c r="G80" i="7"/>
  <c r="H80" i="7"/>
  <c r="I80" i="7"/>
  <c r="J80" i="7"/>
  <c r="K80" i="7"/>
  <c r="E80" i="7"/>
  <c r="F71" i="7"/>
  <c r="G71" i="7"/>
  <c r="H71" i="7"/>
  <c r="I71" i="7"/>
  <c r="J71" i="7"/>
  <c r="K71" i="7"/>
  <c r="E71" i="7"/>
  <c r="K61" i="7"/>
  <c r="F61" i="7"/>
  <c r="G61" i="7"/>
  <c r="H61" i="7"/>
  <c r="I61" i="7"/>
  <c r="J61" i="7"/>
  <c r="E61" i="7"/>
  <c r="F51" i="7" l="1"/>
  <c r="G51" i="7"/>
  <c r="H51" i="7"/>
  <c r="I51" i="7"/>
  <c r="J51" i="7"/>
  <c r="K51" i="7"/>
  <c r="E51" i="7"/>
  <c r="E43" i="7"/>
  <c r="F43" i="7"/>
  <c r="G43" i="7"/>
  <c r="H43" i="7"/>
  <c r="I43" i="7"/>
  <c r="J43" i="7"/>
  <c r="K43" i="7"/>
  <c r="F32" i="7"/>
  <c r="G32" i="7"/>
  <c r="H32" i="7"/>
  <c r="I32" i="7"/>
  <c r="J32" i="7"/>
  <c r="K32" i="7"/>
  <c r="E32" i="7"/>
  <c r="F67" i="6"/>
  <c r="G67" i="6"/>
  <c r="H67" i="6"/>
  <c r="I67" i="6"/>
  <c r="J67" i="6"/>
  <c r="K67" i="6"/>
  <c r="E67" i="6"/>
  <c r="F60" i="6"/>
  <c r="G60" i="6"/>
  <c r="H60" i="6"/>
  <c r="I60" i="6"/>
  <c r="J60" i="6"/>
  <c r="K60" i="6"/>
  <c r="E60" i="6"/>
  <c r="F53" i="6"/>
  <c r="G53" i="6"/>
  <c r="H53" i="6"/>
  <c r="I53" i="6"/>
  <c r="J53" i="6"/>
  <c r="K53" i="6"/>
  <c r="E53" i="6"/>
  <c r="F46" i="6"/>
  <c r="G46" i="6"/>
  <c r="H46" i="6"/>
  <c r="I46" i="6"/>
  <c r="J46" i="6"/>
  <c r="K46" i="6"/>
  <c r="E46" i="6"/>
  <c r="F38" i="6"/>
  <c r="G38" i="6"/>
  <c r="H38" i="6"/>
  <c r="I38" i="6"/>
  <c r="J38" i="6"/>
  <c r="K38" i="6"/>
  <c r="E38" i="6"/>
  <c r="F30" i="6"/>
  <c r="G30" i="6"/>
  <c r="H30" i="6"/>
  <c r="I30" i="6"/>
  <c r="J30" i="6"/>
  <c r="K30" i="6"/>
  <c r="E30" i="6"/>
  <c r="F68" i="5"/>
  <c r="G68" i="5"/>
  <c r="H68" i="5"/>
  <c r="I68" i="5"/>
  <c r="J68" i="5"/>
  <c r="K68" i="5"/>
  <c r="E68" i="5"/>
  <c r="F63" i="5"/>
  <c r="G63" i="5"/>
  <c r="H63" i="5"/>
  <c r="I63" i="5"/>
  <c r="J63" i="5"/>
  <c r="K63" i="5"/>
  <c r="E63" i="5"/>
  <c r="F58" i="5"/>
  <c r="G58" i="5"/>
  <c r="H58" i="5"/>
  <c r="I58" i="5"/>
  <c r="J58" i="5"/>
  <c r="K58" i="5"/>
  <c r="E58" i="5"/>
  <c r="F49" i="5"/>
  <c r="G49" i="5"/>
  <c r="H49" i="5"/>
  <c r="I49" i="5"/>
  <c r="J49" i="5"/>
  <c r="K49" i="5"/>
  <c r="E49" i="5"/>
  <c r="F40" i="5"/>
  <c r="G40" i="5"/>
  <c r="H40" i="5"/>
  <c r="I40" i="5"/>
  <c r="J40" i="5"/>
  <c r="K40" i="5"/>
  <c r="E40" i="5"/>
  <c r="F32" i="5"/>
  <c r="G32" i="5"/>
  <c r="H32" i="5"/>
  <c r="I32" i="5"/>
  <c r="J32" i="5"/>
  <c r="K32" i="5"/>
  <c r="E32" i="5"/>
  <c r="K199" i="4" l="1"/>
  <c r="K200" i="4" s="1"/>
  <c r="J199" i="4"/>
  <c r="J200" i="4" s="1"/>
  <c r="I199" i="4"/>
  <c r="I200" i="4" s="1"/>
  <c r="H200" i="4"/>
  <c r="G200" i="4"/>
  <c r="F200" i="4"/>
  <c r="E200" i="4"/>
  <c r="I189" i="4"/>
  <c r="F189" i="4"/>
  <c r="E189" i="4"/>
  <c r="K188" i="4"/>
  <c r="K189" i="4" s="1"/>
  <c r="J188" i="4"/>
  <c r="J189" i="4" s="1"/>
  <c r="I188" i="4"/>
  <c r="H188" i="4"/>
  <c r="H189" i="4" s="1"/>
  <c r="G188" i="4"/>
  <c r="G189" i="4" s="1"/>
  <c r="F188" i="4"/>
  <c r="I178" i="4"/>
  <c r="H178" i="4"/>
  <c r="G178" i="4"/>
  <c r="F178" i="4"/>
  <c r="J167" i="4"/>
  <c r="H167" i="4"/>
  <c r="G167" i="4"/>
  <c r="F167" i="4"/>
  <c r="K166" i="4"/>
  <c r="J166" i="4"/>
  <c r="I166" i="4"/>
  <c r="I167" i="4" s="1"/>
  <c r="H166" i="4"/>
  <c r="G166" i="4"/>
  <c r="F166" i="4"/>
  <c r="E166" i="4"/>
  <c r="E167" i="4" s="1"/>
  <c r="K156" i="4"/>
  <c r="J156" i="4"/>
  <c r="I156" i="4"/>
  <c r="H156" i="4"/>
  <c r="G156" i="4"/>
  <c r="F156" i="4"/>
  <c r="E156" i="4"/>
  <c r="J146" i="4"/>
  <c r="I146" i="4"/>
  <c r="H146" i="4"/>
  <c r="G146" i="4"/>
  <c r="F146" i="4"/>
  <c r="K136" i="4"/>
  <c r="J136" i="4"/>
  <c r="I136" i="4"/>
  <c r="H136" i="4"/>
  <c r="G136" i="4"/>
  <c r="F136" i="4"/>
  <c r="E136" i="4"/>
  <c r="K129" i="4"/>
  <c r="J129" i="4"/>
  <c r="I129" i="4"/>
  <c r="H129" i="4"/>
  <c r="G129" i="4"/>
  <c r="F129" i="4"/>
  <c r="E129" i="4"/>
  <c r="I121" i="4"/>
  <c r="H121" i="4"/>
  <c r="E121" i="4"/>
  <c r="K119" i="4"/>
  <c r="K121" i="4" s="1"/>
  <c r="J119" i="4"/>
  <c r="J121" i="4" s="1"/>
  <c r="I119" i="4"/>
  <c r="H119" i="4"/>
  <c r="G119" i="4"/>
  <c r="G121" i="4" s="1"/>
  <c r="F119" i="4"/>
  <c r="F121" i="4" s="1"/>
  <c r="E119" i="4"/>
  <c r="K108" i="4"/>
  <c r="J108" i="4"/>
  <c r="I108" i="4"/>
  <c r="G108" i="4"/>
  <c r="F108" i="4"/>
  <c r="E108" i="4"/>
  <c r="K106" i="4"/>
  <c r="J106" i="4"/>
  <c r="I106" i="4"/>
  <c r="H106" i="4"/>
  <c r="H108" i="4" s="1"/>
  <c r="G106" i="4"/>
  <c r="F106" i="4"/>
  <c r="E106" i="4"/>
  <c r="K95" i="4"/>
  <c r="H95" i="4"/>
  <c r="G95" i="4"/>
  <c r="F95" i="4"/>
  <c r="K93" i="4"/>
  <c r="J93" i="4"/>
  <c r="J95" i="4" s="1"/>
  <c r="I93" i="4"/>
  <c r="I95" i="4" s="1"/>
  <c r="H93" i="4"/>
  <c r="G93" i="4"/>
  <c r="F93" i="4"/>
  <c r="E93" i="4"/>
  <c r="E95" i="4" s="1"/>
  <c r="I82" i="4"/>
  <c r="G82" i="4"/>
  <c r="E82" i="4"/>
  <c r="K80" i="4"/>
  <c r="K82" i="4" s="1"/>
  <c r="J80" i="4"/>
  <c r="J82" i="4" s="1"/>
  <c r="I80" i="4"/>
  <c r="H80" i="4"/>
  <c r="H82" i="4" s="1"/>
  <c r="G80" i="4"/>
  <c r="F80" i="4"/>
  <c r="F82" i="4" s="1"/>
  <c r="E80" i="4"/>
  <c r="J69" i="4"/>
  <c r="I69" i="4"/>
  <c r="E69" i="4"/>
  <c r="K67" i="4"/>
  <c r="K69" i="4" s="1"/>
  <c r="J67" i="4"/>
  <c r="I67" i="4"/>
  <c r="H67" i="4"/>
  <c r="H69" i="4" s="1"/>
  <c r="G67" i="4"/>
  <c r="G69" i="4" s="1"/>
  <c r="F67" i="4"/>
  <c r="F69" i="4" s="1"/>
  <c r="E67" i="4"/>
  <c r="K56" i="4"/>
  <c r="J56" i="4"/>
  <c r="H56" i="4"/>
  <c r="G56" i="4"/>
  <c r="F56" i="4"/>
  <c r="K54" i="4"/>
  <c r="J54" i="4"/>
  <c r="I54" i="4"/>
  <c r="I56" i="4" s="1"/>
  <c r="H54" i="4"/>
  <c r="G54" i="4"/>
  <c r="F54" i="4"/>
  <c r="E54" i="4"/>
  <c r="E56" i="4" s="1"/>
  <c r="I42" i="4"/>
  <c r="H42" i="4"/>
  <c r="G42" i="4"/>
  <c r="E42" i="4"/>
  <c r="K38" i="4"/>
  <c r="K42" i="4" s="1"/>
  <c r="J38" i="4"/>
  <c r="J42" i="4" s="1"/>
  <c r="I38" i="4"/>
  <c r="H38" i="4"/>
  <c r="G38" i="4"/>
  <c r="F38" i="4"/>
  <c r="F42" i="4" s="1"/>
  <c r="E38" i="4"/>
  <c r="K32" i="4"/>
  <c r="J32" i="4"/>
  <c r="I32" i="4"/>
  <c r="H32" i="4"/>
  <c r="G32" i="4"/>
  <c r="F32" i="4"/>
  <c r="E32" i="4"/>
</calcChain>
</file>

<file path=xl/sharedStrings.xml><?xml version="1.0" encoding="utf-8"?>
<sst xmlns="http://schemas.openxmlformats.org/spreadsheetml/2006/main" count="820" uniqueCount="375">
  <si>
    <t>ПОГОДЖЕНО:</t>
  </si>
  <si>
    <t>ЗАТВЕРДЖУЮ:</t>
  </si>
  <si>
    <t>Тетяна ТИТАРЕНКО</t>
  </si>
  <si>
    <t xml:space="preserve">Начальник виробничого структурного підпрозділу </t>
  </si>
  <si>
    <t>«______»_______________</t>
  </si>
  <si>
    <t>Дмитро ГРЕЧКО</t>
  </si>
  <si>
    <t>_____________</t>
  </si>
  <si>
    <t>Валерій ДЕРЕВ'ЯНКО</t>
  </si>
  <si>
    <t>Н О Р М И</t>
  </si>
  <si>
    <t xml:space="preserve">
</t>
  </si>
  <si>
    <t xml:space="preserve">допоміжного часу, підготовчо-заключних дій та регламентованих перерв </t>
  </si>
  <si>
    <t>локомотивних бригад</t>
  </si>
  <si>
    <t xml:space="preserve">виробничого структурного підрозділу моторвагонне депо Чернігів </t>
  </si>
  <si>
    <t>філії «Приміська пасажирська компанія» АТ «Укрзалізниця»</t>
  </si>
  <si>
    <t>на період 2025-2026 р.р.</t>
  </si>
  <si>
    <t>по ст.ЧЕРНІГІВ</t>
  </si>
  <si>
    <t>№ п/п</t>
  </si>
  <si>
    <t>Види робіт</t>
  </si>
  <si>
    <t>Елементи затрат робочого часу</t>
  </si>
  <si>
    <t>Тривалість по нормативам (в хв.)</t>
  </si>
  <si>
    <t>Примітка</t>
  </si>
  <si>
    <t>ЕР9Т(М,Е)</t>
  </si>
  <si>
    <t>ЕД9М</t>
  </si>
  <si>
    <t>З модернізованим електрообладненням після ремонту КЕВРЗ</t>
  </si>
  <si>
    <t>10 ваг.</t>
  </si>
  <si>
    <t>8 ваг.</t>
  </si>
  <si>
    <t>6 ваг.</t>
  </si>
  <si>
    <t>4 ваг.</t>
  </si>
  <si>
    <t>1.</t>
  </si>
  <si>
    <t xml:space="preserve">Приймання електропоїзду на станційних коліях ст. Чернігів
після відстою (при проході  від РПЧД)
</t>
  </si>
  <si>
    <t xml:space="preserve">1.1. Одержання машиністом  маршруту, вказівок від чергового по депо, ключів від локомотива </t>
  </si>
  <si>
    <t>1.2. Проходження медогляду</t>
  </si>
  <si>
    <t>1.3. Ознайомлення з наказами, вказівками перед поїздкою</t>
  </si>
  <si>
    <t>1.4. Прохід від РПЧД до електропоїзда 1220 м</t>
  </si>
  <si>
    <t>Т.27</t>
  </si>
  <si>
    <t>1.5 Приймання електропоїзда після відстою</t>
  </si>
  <si>
    <t>1.5.Перевірка схоронності рухомого складу</t>
  </si>
  <si>
    <t>Хронометраж</t>
  </si>
  <si>
    <t>1.6. Заправлення швидкостеміра діаграмною стрічкою</t>
  </si>
  <si>
    <t>1.7. Зачищення переписувача швидкостеміра шліфувальною шкуркою</t>
  </si>
  <si>
    <t>Т.1 п.20</t>
  </si>
  <si>
    <t>ВСЬОГО : час від явки до відправлення</t>
  </si>
  <si>
    <t>2.</t>
  </si>
  <si>
    <t>Приймання електропоїзда від локомотивної бригади на станційних коліях ст.Чернігів (прохід від РПЧД)</t>
  </si>
  <si>
    <t xml:space="preserve">2.1. Одержання машиністом  маршруту, вказівок від чергового по депо, ключів від локомотива </t>
  </si>
  <si>
    <t>2.2. Проходження медогляду</t>
  </si>
  <si>
    <t>2.3. Ознайомлення з наказами, вказівками перед поїздкою</t>
  </si>
  <si>
    <t>2.4. Прохід від РПЧД до електропоїзда 1220 м</t>
  </si>
  <si>
    <t>Всього від явки до прибуття приймаємого електропоїзда</t>
  </si>
  <si>
    <t xml:space="preserve">2.5. Приймання електропоїзда на станційних коліях від локомотивної бригади </t>
  </si>
  <si>
    <t>Т.10</t>
  </si>
  <si>
    <t>2.6. Заправлення швидкостеміра діаграмною стрічкою</t>
  </si>
  <si>
    <t>2.7.Зачищення переписувача швидкостеміра шліфувальною шкуркою</t>
  </si>
  <si>
    <t xml:space="preserve">ВСЬОГО : час від явки до закінчення приймання </t>
  </si>
  <si>
    <t>3.</t>
  </si>
  <si>
    <t>Приймання електропоїзда в основному депо Чернігів після відстою</t>
  </si>
  <si>
    <t xml:space="preserve">3.1. Одержання  машиністом  маршруту, вказівок від чергового по депо, ключів від локомотива </t>
  </si>
  <si>
    <t>3.2. Проходження медогляду</t>
  </si>
  <si>
    <t>3.3. Ознайомлення з наказами, вказівками перед поїздкою</t>
  </si>
  <si>
    <t>3.4. Прохід від РПЧД до електропоїзда 300 м</t>
  </si>
  <si>
    <t>3.5. Приймання електропоїзда після відстою</t>
  </si>
  <si>
    <t>3.6. Перевірка схоронності рухомого складу</t>
  </si>
  <si>
    <t>3.7. Заправлення швидкостеміра діаграмною стрічкою</t>
  </si>
  <si>
    <t>3.8. Зачищення переписувача швидкостеміра шліфувальною шкуркою</t>
  </si>
  <si>
    <t xml:space="preserve">3.9. Час пересування до КП з переводом ручних стрілочних переводів </t>
  </si>
  <si>
    <t xml:space="preserve">Час від явки до КП </t>
  </si>
  <si>
    <t>3.10. Станційний час : від КП до відправлення згідно графіку.</t>
  </si>
  <si>
    <t>Приймання електропоїзда в основному депо Чернігів після виконання ремонту або ТО</t>
  </si>
  <si>
    <t xml:space="preserve">4.1. Одержання  машиністом  маршруту, вказівок від чергового по депо, ключів від локомотива </t>
  </si>
  <si>
    <t>4.2. Проходження медогляду</t>
  </si>
  <si>
    <t>4.3. Ознайомлення з наказами, вказівками перед поїздкою</t>
  </si>
  <si>
    <t>4.4. Прохід від РПЧД до електропоїзда 300 м</t>
  </si>
  <si>
    <t>4.5. Приймання електропоїзда після ТО або ремонту</t>
  </si>
  <si>
    <t>4.6. Перевірка схоронності рухомого складу</t>
  </si>
  <si>
    <t>4.7. Заправлення швидкостеміра діаграмною стрічкою</t>
  </si>
  <si>
    <t>4.8. Зачищення переписувача швидкостеміра шліфувальною шкуркою</t>
  </si>
  <si>
    <t>4.9. Час просування до КП з переводом ручних стрілочних переводів.</t>
  </si>
  <si>
    <t>4.10. Станційний час : від КП до відправлення згідно графіку.</t>
  </si>
  <si>
    <t xml:space="preserve">ВСЬОГО : час від явки до відправлення </t>
  </si>
  <si>
    <t xml:space="preserve">Приймання електропоїзда в основному депо Чернігів після відстою 
(після відпочинку в БВЛБ Чернігів та без заїду на станцію)
</t>
  </si>
  <si>
    <t>5.1. Прохід від БВЛБ до РПЧД 340 м</t>
  </si>
  <si>
    <t xml:space="preserve">5.2. Одержання  машиністом  маршруту, вказівок від чергового по депо, ключів від локомотива </t>
  </si>
  <si>
    <t>5.3. Ознайомлення з наказами, вказівками перед поїздкою</t>
  </si>
  <si>
    <t>5.4. Прохід від РПЧД до електропоїзда 300 м</t>
  </si>
  <si>
    <t>5.5. Приймання електропоїзда після відстою</t>
  </si>
  <si>
    <t>5.6. Перевірка схоронності рухомого складу</t>
  </si>
  <si>
    <t>5.7.Заправлення швидкостеміра діаграмною стрічкою</t>
  </si>
  <si>
    <t>5.8. Зачищення переписувача швидкостеміра шліфувальною шкуркою</t>
  </si>
  <si>
    <t xml:space="preserve">5.9. Час пересування до КП з переводом ручних стрілочних переводів </t>
  </si>
  <si>
    <t>5.10. Станційний час : від КП до відправлення згідно графіку.</t>
  </si>
  <si>
    <t>Приймання електропоїзда в основному депо Чернігів після виконання ремонту або ТО (після відпочинку в БВЛБ Чернігів та без заїду на станцію)</t>
  </si>
  <si>
    <t>6.1. Прохід від БВЛБ до РПЧД 340 м</t>
  </si>
  <si>
    <t xml:space="preserve">6.2. Одержання  машиністом  маршруту, вказівок від чергового по депо, ключів від локомотива </t>
  </si>
  <si>
    <t>6.3. Ознайомлення з наказами, вказівками перед поїздкою</t>
  </si>
  <si>
    <t>6.4. Прохід від РПЧД до електропоїзда 300 м</t>
  </si>
  <si>
    <t>6.5. Приймання електропоїзда після ТО або ремонту</t>
  </si>
  <si>
    <t>6.6. Перевірка схоронності рухомого складу</t>
  </si>
  <si>
    <t>6.7.Заправлення швидкостеміра діаграмною стрічкою</t>
  </si>
  <si>
    <t>6.8. Зачищення переписувача швидкостеміра шліфувальною шкуркою</t>
  </si>
  <si>
    <t xml:space="preserve">6.9. Час пересування до КП з переводом ручних стрілочних переводів </t>
  </si>
  <si>
    <t>6.10. Станційний час : від КП до відправлення згідно графіку.</t>
  </si>
  <si>
    <t>Приймання електропоїзда в основному депо Чернігів після відстою (з виїздом по 21 колії)</t>
  </si>
  <si>
    <t xml:space="preserve">7.1. Одержання  машиністом  маршруту, вказівок від чергового по депо, ключів від локомотива </t>
  </si>
  <si>
    <t>7.2. Проходження медогляду</t>
  </si>
  <si>
    <t>7.3. Ознайомлення з наказами, вказівками перед поїздкою</t>
  </si>
  <si>
    <t>7.4. Прохід від РПЧД до електропоїзда 300 м</t>
  </si>
  <si>
    <t>7.5. Приймання електропоїзда після відстою</t>
  </si>
  <si>
    <t>7.6. Перевірка схоронності рухомого складу</t>
  </si>
  <si>
    <t>7.7. Заправлення швидкостеміра діаграмною стрічкою</t>
  </si>
  <si>
    <t>7.8. Зачищення переписувача швидкостеміра шліфувальною шкуркою</t>
  </si>
  <si>
    <t xml:space="preserve">7.9. Час пересування до КП з переводом ручних стрілочних переводів </t>
  </si>
  <si>
    <t>7.10. Станційний час : від КП до відправлення згідно графіку.</t>
  </si>
  <si>
    <t>Приймання електропоїзда в основному депо Чернігів після виконання ремонту або ТО (з виїздом по 21 колії)</t>
  </si>
  <si>
    <t xml:space="preserve">8.1. Одержання  машиністом  маршруту, вказівок від чергового по депо, ключів від локомотива </t>
  </si>
  <si>
    <t>8.2. Проходження медогляду</t>
  </si>
  <si>
    <t>8.3. Ознайомлення з наказами, вказівками перед поїздкою</t>
  </si>
  <si>
    <t>8.4. Прохід від РПЧД до електропоїзда 300 м</t>
  </si>
  <si>
    <t>8.5. Приймання електропоїзда після ТО або ремонту</t>
  </si>
  <si>
    <t>8.6. Перевірка схоронності рухомого складу</t>
  </si>
  <si>
    <t>8.7. Заправлення швидкостеміра діаграмною стрічкою</t>
  </si>
  <si>
    <t>8.8. Зачищення переписувача швидкостеміра шліфувальною шкуркою</t>
  </si>
  <si>
    <t>8.9. Час просування до КП з переводом ручних стрілочних переводів.</t>
  </si>
  <si>
    <t>8.10. Станційний час : від КП до відправлення згідно графіку.</t>
  </si>
  <si>
    <t>Здача електропоїзда на станційних коліях по ст.Чернігів у відстій</t>
  </si>
  <si>
    <t>9.1. Здача електропоїзда у відстій</t>
  </si>
  <si>
    <t>9.2. Зняття діаграмної стрічки швидкостеміра</t>
  </si>
  <si>
    <t>9.3. Перевірка схоронності рухомого складу</t>
  </si>
  <si>
    <t>9.4. Прохід до РПЧД 1220 м.</t>
  </si>
  <si>
    <t xml:space="preserve">9.5. Проходження медогляду </t>
  </si>
  <si>
    <t>9.6. Відмітка та здача маршруту, швидкостемірної стрічки РПЧД, інформація про технічний стан електропоїзда, запис на явку у чергову поїздку</t>
  </si>
  <si>
    <t xml:space="preserve">ВСЬОГО : час від прибуття до закінчення роботи </t>
  </si>
  <si>
    <t>Здача електропоїзда змінній локомотивній бригаді на станційних коліях ст.Чернігів при проході до РПЧД</t>
  </si>
  <si>
    <t>10.1. Здача електропоїзда локомотивній бригаді</t>
  </si>
  <si>
    <t>10.2. Зняття діаграмної стрічки швидкостеміра</t>
  </si>
  <si>
    <t>10.3. Прохід до РПЧД 1220 м</t>
  </si>
  <si>
    <t>10.4. Проходження медогляду</t>
  </si>
  <si>
    <t xml:space="preserve">10.5. Відмітка та здача маршруту, швидкостемірної стрічки РПЧД, інформація про технічний стан електропоїзда, запис на явку у чергову поїздку </t>
  </si>
  <si>
    <t xml:space="preserve">Здача електропоїзда в основному депо Чернігів на відстій (без заїду на станцію)
перед відпочинком в БВЛБ Чернігів </t>
  </si>
  <si>
    <t>11.1. Станційний час до КП</t>
  </si>
  <si>
    <t xml:space="preserve">11.2. Проїзд від КП до місця відстою з переводом ручних стрілочних переводів </t>
  </si>
  <si>
    <t>11.3. Здача електропоїзда у відстій</t>
  </si>
  <si>
    <t>11.4. Перевірка схоронності рухомого складу</t>
  </si>
  <si>
    <t>11.5 Зняття діаграмної стрічки швидкостеміра</t>
  </si>
  <si>
    <t>11.6. Прохід від місця відстою до РПЧД 300 м</t>
  </si>
  <si>
    <t>11.8. Прохід від РПЧД до БВЛБ 340 м</t>
  </si>
  <si>
    <t xml:space="preserve">Здача електропоїзда в основному депо Чернігів на на ремонт або ТО (без заїду на станцію)
перед відпочинком в БВЛБ Чернігів </t>
  </si>
  <si>
    <t>12.1. Станційний час до КП</t>
  </si>
  <si>
    <t xml:space="preserve">12.2. Проїзд від КП до місця відстою з переводом ручних стрілочних переводів </t>
  </si>
  <si>
    <t>12.3. Здача електропоїзда електропоїзда на ремонт або ТО</t>
  </si>
  <si>
    <t>12.4. Перевірка схоронності рухомого складу</t>
  </si>
  <si>
    <t>12.5. Зняття діаграмної стрічки швидкостеміра</t>
  </si>
  <si>
    <t>12.6. Прохід від місця відстою до РПЧД 300 м</t>
  </si>
  <si>
    <t>10.8. Прохід від РПЧД до БВЛБ 340 м</t>
  </si>
  <si>
    <t>Здача електропоїзда в основному депо Чернігів на відстій</t>
  </si>
  <si>
    <t xml:space="preserve">13.1. Станційний час </t>
  </si>
  <si>
    <t xml:space="preserve">13.2. Проїзд від КП до місця відстою з переводом ручних стрілочних переводів </t>
  </si>
  <si>
    <t>13.3. Здача електропоїзда у відстій</t>
  </si>
  <si>
    <t>13.4. Перевірка схоронності рухомого складу</t>
  </si>
  <si>
    <t>13.5. Зняття діаграмної стрічки швидкостеміра</t>
  </si>
  <si>
    <t>13.6. Прохід від місця відстою до РПЧД 300 м</t>
  </si>
  <si>
    <t>13.7. Проходження медогляду</t>
  </si>
  <si>
    <t xml:space="preserve">13.8. Відмітка та здача маршруту, швидкостемірної стрічки РПЧД, інформація про технічний стан електропоїзда, запис на явку у чергову поїздку </t>
  </si>
  <si>
    <t xml:space="preserve">Всього від КП до закінчення роботи </t>
  </si>
  <si>
    <t>Здача електропоїзда в основному депо Чернігів на ремонт або ТО</t>
  </si>
  <si>
    <t>14.1. Станційний час до КП</t>
  </si>
  <si>
    <t>14.2. Проїзд від КП до місця відстою електропоїзда з переводом ручних стрілочних переводів.</t>
  </si>
  <si>
    <t>14.2. Здача електропоїзда на ремонт або ТО.</t>
  </si>
  <si>
    <t>14.5.Перевірка схоронності рухомого складу</t>
  </si>
  <si>
    <t xml:space="preserve">14.6. Зняття діаграмної стрічки швидкостеміра </t>
  </si>
  <si>
    <t>14.7. Прохід від місця відстою до чергового по депо 300 м</t>
  </si>
  <si>
    <t xml:space="preserve">14.8. Проходження медогляду </t>
  </si>
  <si>
    <t xml:space="preserve">14.9. Відмітка та здача маршруту, швидкостемірної стрічки РПЧД, інформація про технічний стан електропоїзда, запис на явку у чергову поїздку </t>
  </si>
  <si>
    <t>Здача електропоїзда в основному депо Чернігів на відстій при заїзді по 21 колії</t>
  </si>
  <si>
    <t xml:space="preserve">15.1. Станційний час </t>
  </si>
  <si>
    <t xml:space="preserve">15.2. Проїзд від КП до місця відстою з переводом ручних стрілочних переводів </t>
  </si>
  <si>
    <t>15.3. Здача електропоїзда у відстій</t>
  </si>
  <si>
    <t>15.4. Перевірка схоронності рухомого складу</t>
  </si>
  <si>
    <t>15.5. Зняття діаграмної стрічки швидкостеміра</t>
  </si>
  <si>
    <t>15.6. Прохід від місця відстою до РПЧД 300 м</t>
  </si>
  <si>
    <t>15.7. Проходження медогляду</t>
  </si>
  <si>
    <t xml:space="preserve">15.8. Відмітка та здача маршруту, швидкостемірної стрічки РПЧД, інформація про технічний стан електропоїзда, запис на явку у чергову поїздку </t>
  </si>
  <si>
    <t>Всього від КП до закінчення роботи</t>
  </si>
  <si>
    <t>Здача електропоїзда в основному депо Чернігів на ремонт або ТО при заїзді по 21 колії</t>
  </si>
  <si>
    <t>16.1. Станційний час до КП</t>
  </si>
  <si>
    <t>16.2. Проїзд від КП до місця відстою електропоїзда з переводом ручних стрілочних переводів.</t>
  </si>
  <si>
    <t>16.3. Здача електропоїзда на ремонт або ТО.</t>
  </si>
  <si>
    <t>16.4. Перевірка схоронності рухомого складу</t>
  </si>
  <si>
    <t xml:space="preserve">16.5. Зняття діаграмної стрічки швидкостеміра </t>
  </si>
  <si>
    <t>16.5. Прохід від місця відстою до чергового по депо 300 м</t>
  </si>
  <si>
    <t xml:space="preserve">16.6. Проходження медогляду </t>
  </si>
  <si>
    <t xml:space="preserve">16.7. Відмітка та здача маршруту, швидкостемірної стрічки РПЧД, інформація про технічний стан електропоїзда, запис на явку у чергову поїздку </t>
  </si>
  <si>
    <t>Всього від КП до закінчення роботи п.15.2 - п.15.7</t>
  </si>
  <si>
    <t>Заступник начальника депо з експлуатації</t>
  </si>
  <si>
    <t>_________</t>
  </si>
  <si>
    <t>Сергій КРИЖЕВИЙ</t>
  </si>
  <si>
    <t>Інженер з нормування трудових процесів</t>
  </si>
  <si>
    <t>Андрій КУЧЕР</t>
  </si>
  <si>
    <t>ЕР9Т</t>
  </si>
  <si>
    <t xml:space="preserve">Голова ПК </t>
  </si>
  <si>
    <t>Голова ВПМУ</t>
  </si>
  <si>
    <t xml:space="preserve">моторвагонне депо Чернігів </t>
  </si>
  <si>
    <t>філіі "Приміська пасажирська компанія" АТ "Укрзалізниця"</t>
  </si>
  <si>
    <t xml:space="preserve">Заступник директора філії з експлуатації </t>
  </si>
  <si>
    <t>______________ Олександр БОЛДОВ</t>
  </si>
  <si>
    <t>по ст.НІЖИН</t>
  </si>
  <si>
    <t>Приймання електропоїзда на станційних коліях ст. Нежин після відстою з проходженням медичного огляду (на 31-34 коліях)</t>
  </si>
  <si>
    <t xml:space="preserve">1.1. Прохід від кімнат відпочинку до медичного кабінету 90 м. </t>
  </si>
  <si>
    <t>1.2. Проходженням медогляду</t>
  </si>
  <si>
    <t>1.3. Прохід від медичного кабінету до електропоїзда  990  м.</t>
  </si>
  <si>
    <t>1.4. Перевірка схоронності рухомого складу</t>
  </si>
  <si>
    <t>1.5. Приймання електропоїзда після відстою</t>
  </si>
  <si>
    <t xml:space="preserve">1.6. Заправлення швидкостеміра діаграмною стрічкою </t>
  </si>
  <si>
    <t xml:space="preserve">1.8. Станційний час (з перестановками та змінами кабін керуванння)  </t>
  </si>
  <si>
    <t xml:space="preserve">Приймання електропоїзда від локомотивної бригади на станційних коліях (на 3,4,5 коліях) ст.Ніжин з проходженням медичного огляду </t>
  </si>
  <si>
    <t xml:space="preserve">2.1. Прохід від кімнат відпочинку до медичного кабінету 90 м. </t>
  </si>
  <si>
    <t>2.3. Прохід від медичного кабінету до електропоїзда 350 м.</t>
  </si>
  <si>
    <t>2.4. Приймання електропоїзда від локомотивної бригади на станційних коліях</t>
  </si>
  <si>
    <t>2.5. Заправлення швидкостеміра діаграмною стрічкою</t>
  </si>
  <si>
    <t>2.6. Зачищення переписувача швидкостеміра шліфувальною шкуркою</t>
  </si>
  <si>
    <t xml:space="preserve">Приймання електропоїзда від локомотивної бригади на станційних коліях (на 6,7 коліях) ст.Ніжин з проходженням медичного огляду </t>
  </si>
  <si>
    <t xml:space="preserve">3.1. Прохід від кімнат відпочинку до медичного кабінету 90 м. </t>
  </si>
  <si>
    <t>3.3. Прохід від медичного кабінету до електропоїзда 450 м.</t>
  </si>
  <si>
    <t>3.4. Приймання електропоїзда від локомотивної бригади на станційних коліях</t>
  </si>
  <si>
    <t>3.5. Заправлення швидкостеміра діаграмною стрічкою</t>
  </si>
  <si>
    <t>3.6. Зачищення переписувача швидкостеміра шліфувальною шкуркою</t>
  </si>
  <si>
    <t xml:space="preserve">тт. 40 п.1-п.3; тт. 153 п.1-п.2, п.5 </t>
  </si>
  <si>
    <t>Зняття діаграмної стрічки швидкостеміра</t>
  </si>
  <si>
    <t xml:space="preserve">ВСЬОГО : час від прибуття до закінчення роботи 
 з очікуванням під час прибирання електропоїзда
</t>
  </si>
  <si>
    <t xml:space="preserve">Здача електропоїзда на станційних коліях ст.Ніжин у відстій
(на 31-34 колії) з очікуванням прибирання 
</t>
  </si>
  <si>
    <t>4.1. Станційний час від прибуття до постановки у відстій (з перестановками на мийку та змінами кабін керуванння)</t>
  </si>
  <si>
    <t>4.2. Очікування під час прибирання електропоїзду</t>
  </si>
  <si>
    <t>4.3. Здача електропоїзда у відстій</t>
  </si>
  <si>
    <t>4.4. Перевірка схоронності рухомого складу</t>
  </si>
  <si>
    <t>4.5. Зняття діаграмної стрічки швидкостеміра</t>
  </si>
  <si>
    <t>4.6. Прохід від електропоїзда до кімнат відпочинку 920 м.</t>
  </si>
  <si>
    <t xml:space="preserve">Здача електропоїзда локомотивній бригаді на станційних коліях ст.Ніжин
(на 3,4,5 колії)
</t>
  </si>
  <si>
    <t>Здача електропоїзда локомотивний бригаді на станційних коліях</t>
  </si>
  <si>
    <t xml:space="preserve">Здача електропоїзда локомотивній бригаді на станційних коліях ст.Ніжин
(на 6,7 колії)
</t>
  </si>
  <si>
    <t>Прохід від електропоїзда до кімнат відпочинку до 450 м.</t>
  </si>
  <si>
    <t xml:space="preserve">Приймання електропоїзда з відстою по
ст. Борщагівка – Технічна(з колій 6,7,8)
</t>
  </si>
  <si>
    <t>по ст.БОРЩАГІВКА-ТЕХНІЧНА</t>
  </si>
  <si>
    <t xml:space="preserve">Приймання електропоїзда з відстою по
ст. Борщагівка – Технічна(з колії 11-18)
</t>
  </si>
  <si>
    <t>1.1. Одержання машиністом  маршруту, вказівок від чергового по депо, ключів від локомотива</t>
  </si>
  <si>
    <t>1.2. Прохід локомотивної бригади до електропоїзда 100м.</t>
  </si>
  <si>
    <t>1.3. Перевірка схоронності рухомого складу</t>
  </si>
  <si>
    <t>1.4. Приймання електропоїзда після відстою</t>
  </si>
  <si>
    <t xml:space="preserve">1.5. Заправлення швидкостеміра діаграмною стрічкою </t>
  </si>
  <si>
    <t>1.6. Зачищення переписувача швидкостеміра шліфувальною шкуркою</t>
  </si>
  <si>
    <t xml:space="preserve">Приймання електропоїзда з відстою по
ст. Борщагівка – Технічна(з колії 11А-18А)
</t>
  </si>
  <si>
    <t>2.1. Одержання машиністом  маршруту, вказівок від чергового по депо, ключів від локомотива</t>
  </si>
  <si>
    <t>2.2. Прохід локомотивної бригади до електропоїзда 730м.</t>
  </si>
  <si>
    <t>2.3. Перевірка схоронності рухомого складу</t>
  </si>
  <si>
    <t>2.4. Приймання електропоїзда після відстою</t>
  </si>
  <si>
    <t xml:space="preserve">2.5. Заправлення швидкостеміра діаграмною стрічкою 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</si>
  <si>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</si>
  <si>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</si>
  <si>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</si>
  <si>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</si>
  <si>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</si>
  <si>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</si>
  <si>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</si>
  <si>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</si>
  <si>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</si>
  <si>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</si>
  <si>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</si>
  <si>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</si>
  <si>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</si>
  <si>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3.1. Одержання машиністом  маршруту, вказівок від чергового по депо, ключів від локомотива</t>
  </si>
  <si>
    <t>3.2. Прохід локомотивної бригади до електропоїзда 460м.</t>
  </si>
  <si>
    <t>3.3. Перевірка схоронності рухомого складу</t>
  </si>
  <si>
    <t>3.4. Приймання електропоїзда після відстою</t>
  </si>
  <si>
    <t xml:space="preserve">3.5. Заправлення швидкостеміра діаграмною стрічкою </t>
  </si>
  <si>
    <t>Табл.11</t>
  </si>
  <si>
    <t>Табл.27</t>
  </si>
  <si>
    <t>Табл.1п.22</t>
  </si>
  <si>
    <t>Здача електропоїзда у відстій по ст. Борщагівка - Технічна(на коліях 6,7,8)</t>
  </si>
  <si>
    <t>4.1. Здача електропоїзда у відстій</t>
  </si>
  <si>
    <t>4.2. Перевірка схоронності рухомого складу</t>
  </si>
  <si>
    <t>Табл.1 п.13</t>
  </si>
  <si>
    <t>Табл.1 п.14</t>
  </si>
  <si>
    <t>Табл.1 п.16</t>
  </si>
  <si>
    <t>Табл.12</t>
  </si>
  <si>
    <t>Табл.1 п.18</t>
  </si>
  <si>
    <t>Табл.1 п.20</t>
  </si>
  <si>
    <t>Табл.1п.13</t>
  </si>
  <si>
    <t>Табл.1п.14</t>
  </si>
  <si>
    <t>Табл.10</t>
  </si>
  <si>
    <t xml:space="preserve">Табл.1 п.20 </t>
  </si>
  <si>
    <t>Табл. п.14</t>
  </si>
  <si>
    <t>Табл.1п.16</t>
  </si>
  <si>
    <t>Табл.14</t>
  </si>
  <si>
    <t>Табл.1п.19</t>
  </si>
  <si>
    <t>Табл.1 п.15</t>
  </si>
  <si>
    <t>Т.1 п.23</t>
  </si>
  <si>
    <t>Табл.1п.23</t>
  </si>
  <si>
    <t>Табл.13</t>
  </si>
  <si>
    <t xml:space="preserve"> Табл.27</t>
  </si>
  <si>
    <t>Табл.1 п.19</t>
  </si>
  <si>
    <t>Табл.1 п.23</t>
  </si>
  <si>
    <t>Табл.1п.18</t>
  </si>
  <si>
    <t>4.3. Зняття діаграмної стрічки швидкостеміра</t>
  </si>
  <si>
    <t>4.4. Прохід локомотивної бригади до чергового по депо 100 м.</t>
  </si>
  <si>
    <t xml:space="preserve">4.5. Відмітка маршруту у чергового часу закінчення роботи </t>
  </si>
  <si>
    <t>Здача електропоїзда у відстій по ст. Борщагівка - Технічна(на коліях 11-18)</t>
  </si>
  <si>
    <t>Здача електропоїзда у відстій по ст. Борщагівка - Технічна(на коліях 11А-18А)</t>
  </si>
  <si>
    <t>5.1. Здача електропоїзда у відстій</t>
  </si>
  <si>
    <t>5.2. Перевірка схоронності рухомого складу</t>
  </si>
  <si>
    <t>5.3. Зняття діаграмної стрічки швидкостеміра</t>
  </si>
  <si>
    <t>5.4. Прохід локомотивної бригади до чергового по депо 730м.</t>
  </si>
  <si>
    <t xml:space="preserve">5.5. Відмітка маршруту у чергового часу закінчення роботи </t>
  </si>
  <si>
    <t>5.4. Прохід локомотивної бригади до чергового по депо 460м.</t>
  </si>
  <si>
    <t>по ст.КОНОТОП</t>
  </si>
  <si>
    <t>Станційний час до відправлення згідно графіку.</t>
  </si>
  <si>
    <t xml:space="preserve">Приймання електропоїзда по ст.Конотоп після відпочинку у БВЛБ з відстою 
(з 8-12 колії) 
</t>
  </si>
  <si>
    <t xml:space="preserve">Приймання електропоїзда по ст.Конотоп з відстою
(з 8-12 колії)
</t>
  </si>
  <si>
    <t>1.1. Прохід від БВЛБ до ТЧД  500 м.</t>
  </si>
  <si>
    <t xml:space="preserve">1.2. Одержання машиністом вказівок від чергового по депо, ключів від локомотива </t>
  </si>
  <si>
    <t>1.3. Прохід від ТЧД  до місця відстою електропоїзда 2100 м</t>
  </si>
  <si>
    <t>1.5. Заправлення швидкостеміра діаграмною стрічкою</t>
  </si>
  <si>
    <t xml:space="preserve">2.2. Проходження медогляду </t>
  </si>
  <si>
    <t xml:space="preserve">Приймання електропоїзда від локомотивній бригаді на станційних коліях по ст.Конотоп після відпочинку у БВЛБ </t>
  </si>
  <si>
    <t>ВСЬОГО : час від явки до закінчення приймання</t>
  </si>
  <si>
    <t xml:space="preserve">Очікування відправлення     </t>
  </si>
  <si>
    <t>Згідно розкладу</t>
  </si>
  <si>
    <t>3.1. Прохід від БВЛБ до ТЧД  500 м.</t>
  </si>
  <si>
    <t xml:space="preserve">3.2. Одержання машиністом  маршруту, вказівок від чергового по депо, ключів від локомотива </t>
  </si>
  <si>
    <t>3.3. Прохід локомотивної бригади на станцію до місця приймання електропоїзда 1200 м.</t>
  </si>
  <si>
    <t>3.4. Приймання електропоїзда від локомотивної бригади</t>
  </si>
  <si>
    <t xml:space="preserve">Приймання електропоїзда від локомотивної бригаді на станційних коліях   
по ст. Конотоп з медоглядом
</t>
  </si>
  <si>
    <t>Очікування відправлення</t>
  </si>
  <si>
    <t>2.3.Ознайомлення з наказами, вказівками перед поїздкою</t>
  </si>
  <si>
    <t>2.4. Прохід від ТЧД (медичного кабінету) до місця відстою електропоїзда 2100 м</t>
  </si>
  <si>
    <t>2.5. Перевірка схоронності рухомого складу</t>
  </si>
  <si>
    <t>2.6. Приймання електропоїзда після відстою</t>
  </si>
  <si>
    <t>2.7. Заправлення швидкостеміра діаграмною стрічкою</t>
  </si>
  <si>
    <t>2.8. Зачищення переписувача швидкостеміра шліфувальною шкуркою</t>
  </si>
  <si>
    <t>2.9. Станційний час до відправлення згідно графіку.</t>
  </si>
  <si>
    <t xml:space="preserve">4.1. Одержання машиністом  маршруту, вказівок від чергового по депо, ключів від локомотива </t>
  </si>
  <si>
    <t>4.4. Прохід локомотивної бригади на станцію до місця приймання електропоїзда 1200 м.</t>
  </si>
  <si>
    <t>4.5. Приймання електропоїзда на станційних коліях від локомотивної бригади</t>
  </si>
  <si>
    <t xml:space="preserve">4.6. Заправлення швидкостеміра діаграмною стрічкою </t>
  </si>
  <si>
    <t>4.7. Зачищення переписувача швидкостеміра шліфувальною шкуркою</t>
  </si>
  <si>
    <t>Здача електропоїзда по ст.Конотоп перед відпочинком у БВЛБ на відстій (на 8-12 колію)</t>
  </si>
  <si>
    <t>5.1. Станційний час від прибуття до постановки у відстій</t>
  </si>
  <si>
    <t>5.2. Здача електропоїзда у відстій</t>
  </si>
  <si>
    <t>5.4. Зняття діаграмної стрічки швидкостеміра</t>
  </si>
  <si>
    <t>5.5. Прохід від електропоїзда до ТЧД  2100 м.</t>
  </si>
  <si>
    <t xml:space="preserve">5.5. Відмітка чергового в маршруті машиніста про закінчення роботи </t>
  </si>
  <si>
    <t>5.6. Прохід від ТЧД  до БВЛБ 500 м.</t>
  </si>
  <si>
    <t>Здача електропоїзда по ст.Конотоп на відстій (на 8-12 колію)</t>
  </si>
  <si>
    <t>6.1. Станційний час від прибуття до постановки у відстій</t>
  </si>
  <si>
    <t>6.2. Здача електропоїзда у відстій</t>
  </si>
  <si>
    <t>6.3. Здача електропоїзда під охорону</t>
  </si>
  <si>
    <t>6.4. Зняття діаграмної стрічки швидкостеміра</t>
  </si>
  <si>
    <t>6.5. Прохід від електропоїзда до ТЧД (медичного кабінету) 2100 м.</t>
  </si>
  <si>
    <t>6.6. Проходження медогляду</t>
  </si>
  <si>
    <t>6.7. Відмітка чергового в маршруті машиніста про закінчення роботи</t>
  </si>
  <si>
    <t>ВСЬОГО : час від прибуття до закінчення роботи</t>
  </si>
  <si>
    <t xml:space="preserve">Здача електропоїзда змінній локомотивній бригади на станційних коліях
по ст. Конотоп перед відпочинком у БВЛБ 
</t>
  </si>
  <si>
    <t xml:space="preserve">Здача електропоїзда змінній локомотивній бригади на станційних коліях
по ст. Конотоп з проходженням медогляду
</t>
  </si>
  <si>
    <t>7.1. Здача електропоїзда локомотивній бригаді</t>
  </si>
  <si>
    <t>7.2. Зняття діаграмної стрічки швидкостеміра</t>
  </si>
  <si>
    <t>7.3. Прохід до чергового по депо 1200 м</t>
  </si>
  <si>
    <t>7.4. Відмітка чергового в маршруті машиніста про закінчення роботи</t>
  </si>
  <si>
    <t>7.5. Прохід від ТЧД до БВЛБ 500 м.</t>
  </si>
  <si>
    <t>8.1. Здача електропоїзда локомотивній бригаді</t>
  </si>
  <si>
    <t>8.2. Зняття діаграмної стрічки швидкостеміра</t>
  </si>
  <si>
    <t>8.3. Прохід до чергового по депо (медичного кабінету) 1200 м</t>
  </si>
  <si>
    <t>8.5. Проходження медогляду</t>
  </si>
  <si>
    <t>8.6. Відмітка маршруту у чергового часу закінчення роботи</t>
  </si>
  <si>
    <t>Табл.1 п.22</t>
  </si>
  <si>
    <t>5.3. Перевірка схоронності рухомого складу</t>
  </si>
  <si>
    <t>12.7. Відмітка та здача маршруту, швидкостемірної стрічки РПЧД, інформація про технічний стан електропоїзда</t>
  </si>
  <si>
    <t>11.7. Відмітка та здача маршруту, швидкостемірної стрічки РПЧД, інформація про технічний стан електропоїзда</t>
  </si>
  <si>
    <t>Прохід від електропоїзда до кімнат відпочинку 350 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</si>
</sst>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12"/>
      <name val="Times New Roman"/>
      <family val="1"/>
      <charset val="204"/>
    </font>
    <font>
      <sz val="12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0"/>
      <name val="Arial"/>
      <family val="2"/>
      <charset val="204"/>
    </font>
    <font>
      <b/>
      <sz val="2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i/>
      <sz val="12"/>
      <name val="Times New Roman"/>
      <family val="1"/>
      <charset val="204"/>
    </font>
    <font>
      <sz val="14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23">
    <xf numFmtId="0" fontId="0" fillId="0" borderId="0" xfId="0"/>
    <xf numFmtId="0" fontId="2" fillId="0" borderId="0" xfId="1" applyFont="1" applyFill="1" applyAlignment="1"/>
    <xf numFmtId="0" fontId="1" fillId="0" borderId="0" xfId="1" applyFill="1"/>
    <xf numFmtId="0" fontId="3" fillId="0" borderId="0" xfId="1" applyFont="1" applyFill="1"/>
    <xf numFmtId="0" fontId="3" fillId="0" borderId="0" xfId="1" applyFont="1" applyFill="1" applyBorder="1"/>
    <xf numFmtId="0" fontId="5" fillId="0" borderId="0" xfId="1" applyFont="1" applyFill="1"/>
    <xf numFmtId="0" fontId="6" fillId="0" borderId="0" xfId="1" applyFont="1" applyFill="1" applyAlignment="1"/>
    <xf numFmtId="0" fontId="6" fillId="0" borderId="0" xfId="1" applyFont="1" applyFill="1" applyAlignment="1">
      <alignment horizontal="left"/>
    </xf>
    <xf numFmtId="0" fontId="6" fillId="0" borderId="0" xfId="1" applyFont="1" applyFill="1" applyBorder="1" applyAlignment="1"/>
    <xf numFmtId="0" fontId="8" fillId="0" borderId="0" xfId="1" applyFont="1" applyFill="1"/>
    <xf numFmtId="0" fontId="7" fillId="0" borderId="0" xfId="1" applyFont="1" applyFill="1" applyAlignment="1">
      <alignment vertical="center" wrapText="1"/>
    </xf>
    <xf numFmtId="0" fontId="7" fillId="0" borderId="0" xfId="1" applyFont="1" applyFill="1" applyAlignment="1">
      <alignment horizontal="center" vertical="center" wrapText="1"/>
    </xf>
    <xf numFmtId="0" fontId="7" fillId="0" borderId="0" xfId="1" applyFont="1" applyFill="1" applyAlignment="1"/>
    <xf numFmtId="0" fontId="7" fillId="0" borderId="0" xfId="1" applyFont="1" applyFill="1" applyAlignment="1">
      <alignment horizontal="center"/>
    </xf>
    <xf numFmtId="0" fontId="7" fillId="0" borderId="0" xfId="1" applyFont="1" applyFill="1" applyBorder="1" applyAlignment="1">
      <alignment vertical="top" wrapText="1"/>
    </xf>
    <xf numFmtId="0" fontId="7" fillId="0" borderId="0" xfId="1" applyFont="1" applyFill="1" applyBorder="1" applyAlignment="1">
      <alignment horizontal="center"/>
    </xf>
    <xf numFmtId="0" fontId="9" fillId="0" borderId="0" xfId="1" applyFont="1" applyFill="1" applyBorder="1" applyAlignment="1">
      <alignment vertical="top" wrapText="1"/>
    </xf>
    <xf numFmtId="0" fontId="1" fillId="0" borderId="0" xfId="1" applyFill="1" applyBorder="1"/>
    <xf numFmtId="0" fontId="11" fillId="0" borderId="0" xfId="1" applyFont="1" applyFill="1" applyBorder="1" applyAlignment="1">
      <alignment vertical="top" wrapText="1"/>
    </xf>
    <xf numFmtId="0" fontId="11" fillId="0" borderId="3" xfId="1" applyFont="1" applyFill="1" applyBorder="1" applyAlignment="1">
      <alignment horizontal="center" vertical="top" wrapText="1"/>
    </xf>
    <xf numFmtId="0" fontId="11" fillId="0" borderId="1" xfId="1" applyFont="1" applyFill="1" applyBorder="1" applyAlignment="1">
      <alignment horizontal="center" vertical="top" wrapText="1"/>
    </xf>
    <xf numFmtId="0" fontId="6" fillId="0" borderId="12" xfId="1" applyFont="1" applyFill="1" applyBorder="1" applyAlignment="1">
      <alignment horizontal="left" vertical="top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16" fontId="1" fillId="0" borderId="0" xfId="1" applyNumberFormat="1" applyFill="1" applyBorder="1"/>
    <xf numFmtId="0" fontId="6" fillId="0" borderId="5" xfId="1" applyNumberFormat="1" applyFont="1" applyFill="1" applyBorder="1" applyAlignment="1">
      <alignment horizontal="left" vertical="top" wrapText="1"/>
    </xf>
    <xf numFmtId="164" fontId="6" fillId="0" borderId="1" xfId="1" applyNumberFormat="1" applyFont="1" applyFill="1" applyBorder="1" applyAlignment="1">
      <alignment horizontal="center" vertical="center" wrapText="1"/>
    </xf>
    <xf numFmtId="164" fontId="6" fillId="0" borderId="3" xfId="1" applyNumberFormat="1" applyFont="1" applyFill="1" applyBorder="1" applyAlignment="1">
      <alignment horizontal="center" vertical="center" wrapText="1"/>
    </xf>
    <xf numFmtId="0" fontId="12" fillId="0" borderId="0" xfId="1" applyFont="1" applyFill="1" applyBorder="1" applyAlignment="1">
      <alignment vertical="top" wrapText="1"/>
    </xf>
    <xf numFmtId="0" fontId="1" fillId="0" borderId="0" xfId="1" applyNumberFormat="1" applyFill="1" applyBorder="1"/>
    <xf numFmtId="0" fontId="13" fillId="0" borderId="5" xfId="1" applyNumberFormat="1" applyFont="1" applyFill="1" applyBorder="1" applyAlignment="1">
      <alignment horizontal="left" vertical="top" wrapText="1"/>
    </xf>
    <xf numFmtId="1" fontId="4" fillId="0" borderId="1" xfId="1" applyNumberFormat="1" applyFont="1" applyFill="1" applyBorder="1" applyAlignment="1">
      <alignment horizontal="center" vertical="top" wrapText="1"/>
    </xf>
    <xf numFmtId="1" fontId="4" fillId="0" borderId="3" xfId="1" applyNumberFormat="1" applyFont="1" applyFill="1" applyBorder="1" applyAlignment="1">
      <alignment horizontal="center" vertical="top" wrapText="1"/>
    </xf>
    <xf numFmtId="0" fontId="6" fillId="0" borderId="1" xfId="1" applyFont="1" applyFill="1" applyBorder="1" applyAlignment="1">
      <alignment horizontal="center" vertical="top" wrapText="1"/>
    </xf>
    <xf numFmtId="0" fontId="4" fillId="0" borderId="1" xfId="1" applyFont="1" applyFill="1" applyBorder="1" applyAlignment="1">
      <alignment horizontal="center" vertical="top" wrapText="1"/>
    </xf>
    <xf numFmtId="0" fontId="4" fillId="0" borderId="5" xfId="1" applyNumberFormat="1" applyFont="1" applyFill="1" applyBorder="1" applyAlignment="1">
      <alignment horizontal="left" vertical="top" wrapText="1"/>
    </xf>
    <xf numFmtId="164" fontId="4" fillId="0" borderId="1" xfId="1" applyNumberFormat="1" applyFont="1" applyFill="1" applyBorder="1" applyAlignment="1">
      <alignment horizontal="center" vertical="top" wrapText="1"/>
    </xf>
    <xf numFmtId="164" fontId="4" fillId="0" borderId="3" xfId="1" applyNumberFormat="1" applyFont="1" applyFill="1" applyBorder="1" applyAlignment="1">
      <alignment horizontal="center" vertical="top" wrapText="1"/>
    </xf>
    <xf numFmtId="0" fontId="6" fillId="0" borderId="1" xfId="1" applyNumberFormat="1" applyFont="1" applyFill="1" applyBorder="1" applyAlignment="1">
      <alignment horizontal="left" vertical="top" wrapText="1"/>
    </xf>
    <xf numFmtId="1" fontId="4" fillId="0" borderId="1" xfId="1" applyNumberFormat="1" applyFont="1" applyFill="1" applyBorder="1" applyAlignment="1">
      <alignment horizontal="center" vertical="center" wrapText="1"/>
    </xf>
    <xf numFmtId="1" fontId="4" fillId="0" borderId="3" xfId="1" applyNumberFormat="1" applyFont="1" applyFill="1" applyBorder="1" applyAlignment="1">
      <alignment horizontal="center" vertical="center" wrapText="1"/>
    </xf>
    <xf numFmtId="0" fontId="12" fillId="0" borderId="0" xfId="1" applyFont="1" applyFill="1" applyBorder="1" applyAlignment="1">
      <alignment horizontal="center" vertical="top" wrapText="1"/>
    </xf>
    <xf numFmtId="0" fontId="13" fillId="0" borderId="1" xfId="1" applyNumberFormat="1" applyFont="1" applyFill="1" applyBorder="1" applyAlignment="1">
      <alignment horizontal="left" vertical="top" wrapText="1"/>
    </xf>
    <xf numFmtId="0" fontId="4" fillId="0" borderId="1" xfId="1" applyNumberFormat="1" applyFont="1" applyFill="1" applyBorder="1" applyAlignment="1">
      <alignment horizontal="left" vertical="top" wrapText="1"/>
    </xf>
    <xf numFmtId="0" fontId="6" fillId="0" borderId="1" xfId="1" applyFont="1" applyFill="1" applyBorder="1" applyAlignment="1">
      <alignment vertical="top" wrapText="1"/>
    </xf>
    <xf numFmtId="0" fontId="4" fillId="0" borderId="2" xfId="1" applyFont="1" applyFill="1" applyBorder="1" applyAlignment="1">
      <alignment horizontal="center" vertical="top" wrapText="1"/>
    </xf>
    <xf numFmtId="0" fontId="4" fillId="0" borderId="1" xfId="1" applyFont="1" applyFill="1" applyBorder="1" applyAlignment="1">
      <alignment vertical="top" wrapText="1"/>
    </xf>
    <xf numFmtId="0" fontId="13" fillId="0" borderId="1" xfId="1" applyFont="1" applyFill="1" applyBorder="1" applyAlignment="1">
      <alignment vertical="top" wrapText="1"/>
    </xf>
    <xf numFmtId="0" fontId="4" fillId="0" borderId="14" xfId="1" applyFont="1" applyFill="1" applyBorder="1" applyAlignment="1">
      <alignment horizontal="center" vertical="top" wrapText="1"/>
    </xf>
    <xf numFmtId="0" fontId="4" fillId="0" borderId="14" xfId="1" applyFont="1" applyFill="1" applyBorder="1" applyAlignment="1">
      <alignment vertical="top" wrapText="1"/>
    </xf>
    <xf numFmtId="0" fontId="1" fillId="0" borderId="15" xfId="1" applyFill="1" applyBorder="1"/>
    <xf numFmtId="0" fontId="5" fillId="0" borderId="5" xfId="1" applyFont="1" applyFill="1" applyBorder="1"/>
    <xf numFmtId="0" fontId="5" fillId="0" borderId="14" xfId="1" applyFont="1" applyFill="1" applyBorder="1"/>
    <xf numFmtId="0" fontId="5" fillId="0" borderId="3" xfId="1" applyFont="1" applyFill="1" applyBorder="1"/>
    <xf numFmtId="0" fontId="5" fillId="0" borderId="4" xfId="1" applyFont="1" applyFill="1" applyBorder="1"/>
    <xf numFmtId="0" fontId="5" fillId="0" borderId="1" xfId="1" applyFont="1" applyFill="1" applyBorder="1" applyAlignment="1">
      <alignment horizontal="center"/>
    </xf>
    <xf numFmtId="164" fontId="6" fillId="0" borderId="3" xfId="1" applyNumberFormat="1" applyFont="1" applyFill="1" applyBorder="1" applyAlignment="1">
      <alignment horizontal="center" vertical="top" wrapText="1"/>
    </xf>
    <xf numFmtId="164" fontId="6" fillId="0" borderId="1" xfId="1" applyNumberFormat="1" applyFont="1" applyFill="1" applyBorder="1" applyAlignment="1">
      <alignment horizontal="center" vertical="top" wrapText="1"/>
    </xf>
    <xf numFmtId="0" fontId="13" fillId="0" borderId="2" xfId="1" applyNumberFormat="1" applyFont="1" applyFill="1" applyBorder="1" applyAlignment="1">
      <alignment horizontal="left" vertical="top" wrapText="1"/>
    </xf>
    <xf numFmtId="1" fontId="4" fillId="0" borderId="7" xfId="1" applyNumberFormat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14" xfId="1" applyNumberFormat="1" applyFont="1" applyFill="1" applyBorder="1" applyAlignment="1">
      <alignment horizontal="left" vertical="top" wrapText="1"/>
    </xf>
    <xf numFmtId="164" fontId="6" fillId="0" borderId="10" xfId="1" applyNumberFormat="1" applyFont="1" applyFill="1" applyBorder="1" applyAlignment="1">
      <alignment horizontal="center" vertical="center" wrapText="1"/>
    </xf>
    <xf numFmtId="164" fontId="6" fillId="0" borderId="14" xfId="1" applyNumberFormat="1" applyFont="1" applyFill="1" applyBorder="1" applyAlignment="1">
      <alignment horizontal="center" vertical="center" wrapText="1"/>
    </xf>
    <xf numFmtId="0" fontId="6" fillId="0" borderId="14" xfId="1" applyFont="1" applyFill="1" applyBorder="1" applyAlignment="1">
      <alignment horizontal="center" vertical="center" wrapText="1"/>
    </xf>
    <xf numFmtId="0" fontId="1" fillId="0" borderId="0" xfId="1" applyFont="1" applyFill="1"/>
    <xf numFmtId="0" fontId="14" fillId="0" borderId="0" xfId="1" applyFont="1" applyFill="1" applyBorder="1" applyAlignment="1"/>
    <xf numFmtId="0" fontId="14" fillId="0" borderId="0" xfId="1" applyFont="1" applyFill="1" applyBorder="1" applyAlignment="1">
      <alignment horizontal="right"/>
    </xf>
    <xf numFmtId="0" fontId="14" fillId="0" borderId="0" xfId="1" applyFont="1" applyFill="1" applyBorder="1"/>
    <xf numFmtId="0" fontId="5" fillId="0" borderId="0" xfId="1" applyFont="1" applyFill="1" applyBorder="1" applyAlignment="1"/>
    <xf numFmtId="0" fontId="5" fillId="0" borderId="0" xfId="1" applyFont="1" applyFill="1" applyBorder="1"/>
    <xf numFmtId="0" fontId="1" fillId="0" borderId="0" xfId="1" applyFill="1" applyBorder="1" applyAlignment="1">
      <alignment horizontal="center"/>
    </xf>
    <xf numFmtId="0" fontId="7" fillId="0" borderId="0" xfId="1" applyFont="1" applyFill="1" applyAlignment="1">
      <alignment horizontal="center"/>
    </xf>
    <xf numFmtId="0" fontId="6" fillId="0" borderId="0" xfId="1" applyFont="1" applyFill="1" applyAlignment="1">
      <alignment horizontal="left"/>
    </xf>
    <xf numFmtId="0" fontId="4" fillId="0" borderId="1" xfId="1" applyFont="1" applyFill="1" applyBorder="1" applyAlignment="1">
      <alignment horizontal="center" vertical="top" wrapText="1"/>
    </xf>
    <xf numFmtId="0" fontId="4" fillId="0" borderId="2" xfId="1" applyFont="1" applyFill="1" applyBorder="1" applyAlignment="1">
      <alignment horizontal="center" vertical="top" wrapText="1"/>
    </xf>
    <xf numFmtId="0" fontId="4" fillId="0" borderId="14" xfId="1" applyFont="1" applyFill="1" applyBorder="1" applyAlignment="1">
      <alignment horizontal="center" vertical="top" wrapText="1"/>
    </xf>
    <xf numFmtId="0" fontId="5" fillId="0" borderId="0" xfId="1" applyFont="1" applyFill="1" applyAlignment="1"/>
    <xf numFmtId="0" fontId="14" fillId="0" borderId="0" xfId="1" applyFont="1" applyFill="1"/>
    <xf numFmtId="0" fontId="7" fillId="0" borderId="0" xfId="1" applyFont="1" applyFill="1" applyBorder="1"/>
    <xf numFmtId="2" fontId="6" fillId="0" borderId="1" xfId="1" applyNumberFormat="1" applyFont="1" applyFill="1" applyBorder="1" applyAlignment="1">
      <alignment horizontal="center" vertical="center" wrapText="1"/>
    </xf>
    <xf numFmtId="2" fontId="6" fillId="0" borderId="3" xfId="1" applyNumberFormat="1" applyFont="1" applyFill="1" applyBorder="1" applyAlignment="1">
      <alignment horizontal="center" vertical="center" wrapText="1"/>
    </xf>
    <xf numFmtId="0" fontId="12" fillId="0" borderId="1" xfId="1" applyFont="1" applyFill="1" applyBorder="1" applyAlignment="1">
      <alignment horizontal="center" vertical="center" wrapText="1"/>
    </xf>
    <xf numFmtId="0" fontId="7" fillId="0" borderId="0" xfId="1" applyFont="1" applyFill="1" applyAlignment="1">
      <alignment horizontal="center"/>
    </xf>
    <xf numFmtId="0" fontId="6" fillId="0" borderId="0" xfId="1" applyFont="1" applyFill="1" applyAlignment="1">
      <alignment horizontal="left"/>
    </xf>
    <xf numFmtId="0" fontId="4" fillId="0" borderId="1" xfId="1" applyFont="1" applyFill="1" applyBorder="1" applyAlignment="1">
      <alignment horizontal="center" vertical="top" wrapText="1"/>
    </xf>
    <xf numFmtId="0" fontId="4" fillId="0" borderId="2" xfId="1" applyFont="1" applyFill="1" applyBorder="1" applyAlignment="1">
      <alignment horizontal="center" vertical="top" wrapText="1"/>
    </xf>
    <xf numFmtId="0" fontId="4" fillId="0" borderId="14" xfId="1" applyFont="1" applyFill="1" applyBorder="1" applyAlignment="1">
      <alignment horizontal="center" vertical="top" wrapText="1"/>
    </xf>
    <xf numFmtId="0" fontId="6" fillId="0" borderId="2" xfId="1" applyFont="1" applyFill="1" applyBorder="1" applyAlignment="1">
      <alignment horizontal="center" vertical="top" wrapText="1"/>
    </xf>
    <xf numFmtId="0" fontId="13" fillId="0" borderId="5" xfId="1" applyNumberFormat="1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7" fillId="0" borderId="0" xfId="1" applyFont="1" applyFill="1" applyAlignment="1">
      <alignment horizontal="center"/>
    </xf>
    <xf numFmtId="0" fontId="4" fillId="0" borderId="0" xfId="1" applyFont="1" applyFill="1" applyAlignment="1">
      <alignment horizontal="left"/>
    </xf>
    <xf numFmtId="0" fontId="6" fillId="0" borderId="0" xfId="1" applyFont="1" applyFill="1" applyAlignment="1">
      <alignment horizontal="left"/>
    </xf>
    <xf numFmtId="0" fontId="7" fillId="0" borderId="0" xfId="1" applyFont="1" applyFill="1" applyAlignment="1">
      <alignment horizontal="center" vertical="center"/>
    </xf>
    <xf numFmtId="0" fontId="6" fillId="0" borderId="0" xfId="1" applyFont="1" applyFill="1" applyAlignment="1">
      <alignment horizontal="center"/>
    </xf>
    <xf numFmtId="0" fontId="7" fillId="0" borderId="0" xfId="1" applyFont="1" applyFill="1" applyBorder="1" applyAlignment="1">
      <alignment horizontal="center" vertical="top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6" xfId="1" applyFont="1" applyFill="1" applyBorder="1" applyAlignment="1">
      <alignment horizontal="center" vertical="center" wrapText="1"/>
    </xf>
    <xf numFmtId="0" fontId="4" fillId="0" borderId="14" xfId="1" applyFont="1" applyFill="1" applyBorder="1" applyAlignment="1">
      <alignment horizontal="center" vertical="center" wrapText="1"/>
    </xf>
    <xf numFmtId="0" fontId="4" fillId="0" borderId="3" xfId="1" applyFont="1" applyFill="1" applyBorder="1" applyAlignment="1">
      <alignment horizontal="center" vertical="center" wrapText="1"/>
    </xf>
    <xf numFmtId="0" fontId="4" fillId="0" borderId="4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 vertical="center"/>
    </xf>
    <xf numFmtId="0" fontId="6" fillId="0" borderId="8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center" vertical="center"/>
    </xf>
    <xf numFmtId="0" fontId="6" fillId="0" borderId="11" xfId="1" applyFont="1" applyFill="1" applyBorder="1" applyAlignment="1">
      <alignment horizontal="center" vertical="center"/>
    </xf>
    <xf numFmtId="0" fontId="6" fillId="0" borderId="12" xfId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2" fillId="0" borderId="7" xfId="1" applyFont="1" applyFill="1" applyBorder="1" applyAlignment="1">
      <alignment horizontal="center" vertical="center" wrapText="1"/>
    </xf>
    <xf numFmtId="0" fontId="2" fillId="0" borderId="13" xfId="1" applyFont="1" applyFill="1" applyBorder="1" applyAlignment="1">
      <alignment horizontal="center" vertical="center" wrapText="1"/>
    </xf>
    <xf numFmtId="0" fontId="2" fillId="0" borderId="10" xfId="1" applyFont="1" applyFill="1" applyBorder="1" applyAlignment="1">
      <alignment horizontal="center" vertical="center" wrapText="1"/>
    </xf>
    <xf numFmtId="0" fontId="10" fillId="0" borderId="3" xfId="1" applyFont="1" applyFill="1" applyBorder="1" applyAlignment="1">
      <alignment horizontal="center" vertical="center" wrapText="1"/>
    </xf>
    <xf numFmtId="0" fontId="10" fillId="0" borderId="5" xfId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top" wrapText="1"/>
    </xf>
    <xf numFmtId="0" fontId="4" fillId="0" borderId="2" xfId="1" applyFont="1" applyFill="1" applyBorder="1" applyAlignment="1">
      <alignment horizontal="center" vertical="top" wrapText="1"/>
    </xf>
    <xf numFmtId="0" fontId="4" fillId="0" borderId="6" xfId="1" applyFont="1" applyFill="1" applyBorder="1" applyAlignment="1">
      <alignment horizontal="center" vertical="top" wrapText="1"/>
    </xf>
    <xf numFmtId="0" fontId="4" fillId="0" borderId="14" xfId="1" applyFont="1" applyFill="1" applyBorder="1" applyAlignment="1">
      <alignment horizontal="center" vertical="top" wrapText="1"/>
    </xf>
    <xf numFmtId="0" fontId="5" fillId="0" borderId="0" xfId="1" applyFont="1" applyFill="1" applyBorder="1" applyAlignment="1">
      <alignment horizontal="left"/>
    </xf>
    <xf numFmtId="0" fontId="14" fillId="0" borderId="0" xfId="1" applyFont="1" applyFill="1" applyBorder="1" applyAlignment="1">
      <alignment horizontal="left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2"/>
  <sheetViews>
    <sheetView tabSelected="1" view="pageBreakPreview" topLeftCell="A78" zoomScaleNormal="100" zoomScaleSheetLayoutView="100" workbookViewId="0">
      <selection activeCell="D105" sqref="D105"/>
    </sheetView>
  </sheetViews>
  <sheetFormatPr defaultRowHeight="12.75" x14ac:dyDescent="0.2"/>
  <cols>
    <col min="1" max="1" width="1.42578125" style="2" customWidth="1"/>
    <col min="2" max="2" width="4.28515625" style="2" customWidth="1"/>
    <col min="3" max="3" width="16" style="2" customWidth="1"/>
    <col min="4" max="4" width="32.7109375" style="2" customWidth="1"/>
    <col min="5" max="11" width="7.7109375" style="2" customWidth="1"/>
    <col min="12" max="12" width="17.140625" style="17" customWidth="1"/>
    <col min="13" max="13" width="0.85546875" style="2" customWidth="1"/>
    <col min="14" max="14" width="9.140625" style="2" customWidth="1"/>
    <col min="15" max="15" width="43.42578125" style="2" customWidth="1"/>
    <col min="16" max="16" width="9.140625" style="2"/>
    <col min="17" max="24" width="9.140625" style="2" customWidth="1"/>
    <col min="25" max="25" width="8.85546875" style="2" customWidth="1"/>
    <col min="26" max="27" width="9.140625" style="2" hidden="1" customWidth="1"/>
    <col min="28" max="256" width="9.140625" style="2"/>
    <col min="257" max="257" width="1.42578125" style="2" customWidth="1"/>
    <col min="258" max="258" width="4.28515625" style="2" customWidth="1"/>
    <col min="259" max="259" width="16" style="2" customWidth="1"/>
    <col min="260" max="260" width="32.7109375" style="2" customWidth="1"/>
    <col min="261" max="267" width="7.7109375" style="2" customWidth="1"/>
    <col min="268" max="268" width="17.140625" style="2" customWidth="1"/>
    <col min="269" max="269" width="0.85546875" style="2" customWidth="1"/>
    <col min="270" max="270" width="9.140625" style="2" customWidth="1"/>
    <col min="271" max="271" width="43.42578125" style="2" customWidth="1"/>
    <col min="272" max="272" width="9.140625" style="2"/>
    <col min="273" max="280" width="9.140625" style="2" customWidth="1"/>
    <col min="281" max="281" width="8.85546875" style="2" customWidth="1"/>
    <col min="282" max="283" width="0" style="2" hidden="1" customWidth="1"/>
    <col min="284" max="512" width="9.140625" style="2"/>
    <col min="513" max="513" width="1.42578125" style="2" customWidth="1"/>
    <col min="514" max="514" width="4.28515625" style="2" customWidth="1"/>
    <col min="515" max="515" width="16" style="2" customWidth="1"/>
    <col min="516" max="516" width="32.7109375" style="2" customWidth="1"/>
    <col min="517" max="523" width="7.7109375" style="2" customWidth="1"/>
    <col min="524" max="524" width="17.140625" style="2" customWidth="1"/>
    <col min="525" max="525" width="0.85546875" style="2" customWidth="1"/>
    <col min="526" max="526" width="9.140625" style="2" customWidth="1"/>
    <col min="527" max="527" width="43.42578125" style="2" customWidth="1"/>
    <col min="528" max="528" width="9.140625" style="2"/>
    <col min="529" max="536" width="9.140625" style="2" customWidth="1"/>
    <col min="537" max="537" width="8.85546875" style="2" customWidth="1"/>
    <col min="538" max="539" width="0" style="2" hidden="1" customWidth="1"/>
    <col min="540" max="768" width="9.140625" style="2"/>
    <col min="769" max="769" width="1.42578125" style="2" customWidth="1"/>
    <col min="770" max="770" width="4.28515625" style="2" customWidth="1"/>
    <col min="771" max="771" width="16" style="2" customWidth="1"/>
    <col min="772" max="772" width="32.7109375" style="2" customWidth="1"/>
    <col min="773" max="779" width="7.7109375" style="2" customWidth="1"/>
    <col min="780" max="780" width="17.140625" style="2" customWidth="1"/>
    <col min="781" max="781" width="0.85546875" style="2" customWidth="1"/>
    <col min="782" max="782" width="9.140625" style="2" customWidth="1"/>
    <col min="783" max="783" width="43.42578125" style="2" customWidth="1"/>
    <col min="784" max="784" width="9.140625" style="2"/>
    <col min="785" max="792" width="9.140625" style="2" customWidth="1"/>
    <col min="793" max="793" width="8.85546875" style="2" customWidth="1"/>
    <col min="794" max="795" width="0" style="2" hidden="1" customWidth="1"/>
    <col min="796" max="1024" width="9.140625" style="2"/>
    <col min="1025" max="1025" width="1.42578125" style="2" customWidth="1"/>
    <col min="1026" max="1026" width="4.28515625" style="2" customWidth="1"/>
    <col min="1027" max="1027" width="16" style="2" customWidth="1"/>
    <col min="1028" max="1028" width="32.7109375" style="2" customWidth="1"/>
    <col min="1029" max="1035" width="7.7109375" style="2" customWidth="1"/>
    <col min="1036" max="1036" width="17.140625" style="2" customWidth="1"/>
    <col min="1037" max="1037" width="0.85546875" style="2" customWidth="1"/>
    <col min="1038" max="1038" width="9.140625" style="2" customWidth="1"/>
    <col min="1039" max="1039" width="43.42578125" style="2" customWidth="1"/>
    <col min="1040" max="1040" width="9.140625" style="2"/>
    <col min="1041" max="1048" width="9.140625" style="2" customWidth="1"/>
    <col min="1049" max="1049" width="8.85546875" style="2" customWidth="1"/>
    <col min="1050" max="1051" width="0" style="2" hidden="1" customWidth="1"/>
    <col min="1052" max="1280" width="9.140625" style="2"/>
    <col min="1281" max="1281" width="1.42578125" style="2" customWidth="1"/>
    <col min="1282" max="1282" width="4.28515625" style="2" customWidth="1"/>
    <col min="1283" max="1283" width="16" style="2" customWidth="1"/>
    <col min="1284" max="1284" width="32.7109375" style="2" customWidth="1"/>
    <col min="1285" max="1291" width="7.7109375" style="2" customWidth="1"/>
    <col min="1292" max="1292" width="17.140625" style="2" customWidth="1"/>
    <col min="1293" max="1293" width="0.85546875" style="2" customWidth="1"/>
    <col min="1294" max="1294" width="9.140625" style="2" customWidth="1"/>
    <col min="1295" max="1295" width="43.42578125" style="2" customWidth="1"/>
    <col min="1296" max="1296" width="9.140625" style="2"/>
    <col min="1297" max="1304" width="9.140625" style="2" customWidth="1"/>
    <col min="1305" max="1305" width="8.85546875" style="2" customWidth="1"/>
    <col min="1306" max="1307" width="0" style="2" hidden="1" customWidth="1"/>
    <col min="1308" max="1536" width="9.140625" style="2"/>
    <col min="1537" max="1537" width="1.42578125" style="2" customWidth="1"/>
    <col min="1538" max="1538" width="4.28515625" style="2" customWidth="1"/>
    <col min="1539" max="1539" width="16" style="2" customWidth="1"/>
    <col min="1540" max="1540" width="32.7109375" style="2" customWidth="1"/>
    <col min="1541" max="1547" width="7.7109375" style="2" customWidth="1"/>
    <col min="1548" max="1548" width="17.140625" style="2" customWidth="1"/>
    <col min="1549" max="1549" width="0.85546875" style="2" customWidth="1"/>
    <col min="1550" max="1550" width="9.140625" style="2" customWidth="1"/>
    <col min="1551" max="1551" width="43.42578125" style="2" customWidth="1"/>
    <col min="1552" max="1552" width="9.140625" style="2"/>
    <col min="1553" max="1560" width="9.140625" style="2" customWidth="1"/>
    <col min="1561" max="1561" width="8.85546875" style="2" customWidth="1"/>
    <col min="1562" max="1563" width="0" style="2" hidden="1" customWidth="1"/>
    <col min="1564" max="1792" width="9.140625" style="2"/>
    <col min="1793" max="1793" width="1.42578125" style="2" customWidth="1"/>
    <col min="1794" max="1794" width="4.28515625" style="2" customWidth="1"/>
    <col min="1795" max="1795" width="16" style="2" customWidth="1"/>
    <col min="1796" max="1796" width="32.7109375" style="2" customWidth="1"/>
    <col min="1797" max="1803" width="7.7109375" style="2" customWidth="1"/>
    <col min="1804" max="1804" width="17.140625" style="2" customWidth="1"/>
    <col min="1805" max="1805" width="0.85546875" style="2" customWidth="1"/>
    <col min="1806" max="1806" width="9.140625" style="2" customWidth="1"/>
    <col min="1807" max="1807" width="43.42578125" style="2" customWidth="1"/>
    <col min="1808" max="1808" width="9.140625" style="2"/>
    <col min="1809" max="1816" width="9.140625" style="2" customWidth="1"/>
    <col min="1817" max="1817" width="8.85546875" style="2" customWidth="1"/>
    <col min="1818" max="1819" width="0" style="2" hidden="1" customWidth="1"/>
    <col min="1820" max="2048" width="9.140625" style="2"/>
    <col min="2049" max="2049" width="1.42578125" style="2" customWidth="1"/>
    <col min="2050" max="2050" width="4.28515625" style="2" customWidth="1"/>
    <col min="2051" max="2051" width="16" style="2" customWidth="1"/>
    <col min="2052" max="2052" width="32.7109375" style="2" customWidth="1"/>
    <col min="2053" max="2059" width="7.7109375" style="2" customWidth="1"/>
    <col min="2060" max="2060" width="17.140625" style="2" customWidth="1"/>
    <col min="2061" max="2061" width="0.85546875" style="2" customWidth="1"/>
    <col min="2062" max="2062" width="9.140625" style="2" customWidth="1"/>
    <col min="2063" max="2063" width="43.42578125" style="2" customWidth="1"/>
    <col min="2064" max="2064" width="9.140625" style="2"/>
    <col min="2065" max="2072" width="9.140625" style="2" customWidth="1"/>
    <col min="2073" max="2073" width="8.85546875" style="2" customWidth="1"/>
    <col min="2074" max="2075" width="0" style="2" hidden="1" customWidth="1"/>
    <col min="2076" max="2304" width="9.140625" style="2"/>
    <col min="2305" max="2305" width="1.42578125" style="2" customWidth="1"/>
    <col min="2306" max="2306" width="4.28515625" style="2" customWidth="1"/>
    <col min="2307" max="2307" width="16" style="2" customWidth="1"/>
    <col min="2308" max="2308" width="32.7109375" style="2" customWidth="1"/>
    <col min="2309" max="2315" width="7.7109375" style="2" customWidth="1"/>
    <col min="2316" max="2316" width="17.140625" style="2" customWidth="1"/>
    <col min="2317" max="2317" width="0.85546875" style="2" customWidth="1"/>
    <col min="2318" max="2318" width="9.140625" style="2" customWidth="1"/>
    <col min="2319" max="2319" width="43.42578125" style="2" customWidth="1"/>
    <col min="2320" max="2320" width="9.140625" style="2"/>
    <col min="2321" max="2328" width="9.140625" style="2" customWidth="1"/>
    <col min="2329" max="2329" width="8.85546875" style="2" customWidth="1"/>
    <col min="2330" max="2331" width="0" style="2" hidden="1" customWidth="1"/>
    <col min="2332" max="2560" width="9.140625" style="2"/>
    <col min="2561" max="2561" width="1.42578125" style="2" customWidth="1"/>
    <col min="2562" max="2562" width="4.28515625" style="2" customWidth="1"/>
    <col min="2563" max="2563" width="16" style="2" customWidth="1"/>
    <col min="2564" max="2564" width="32.7109375" style="2" customWidth="1"/>
    <col min="2565" max="2571" width="7.7109375" style="2" customWidth="1"/>
    <col min="2572" max="2572" width="17.140625" style="2" customWidth="1"/>
    <col min="2573" max="2573" width="0.85546875" style="2" customWidth="1"/>
    <col min="2574" max="2574" width="9.140625" style="2" customWidth="1"/>
    <col min="2575" max="2575" width="43.42578125" style="2" customWidth="1"/>
    <col min="2576" max="2576" width="9.140625" style="2"/>
    <col min="2577" max="2584" width="9.140625" style="2" customWidth="1"/>
    <col min="2585" max="2585" width="8.85546875" style="2" customWidth="1"/>
    <col min="2586" max="2587" width="0" style="2" hidden="1" customWidth="1"/>
    <col min="2588" max="2816" width="9.140625" style="2"/>
    <col min="2817" max="2817" width="1.42578125" style="2" customWidth="1"/>
    <col min="2818" max="2818" width="4.28515625" style="2" customWidth="1"/>
    <col min="2819" max="2819" width="16" style="2" customWidth="1"/>
    <col min="2820" max="2820" width="32.7109375" style="2" customWidth="1"/>
    <col min="2821" max="2827" width="7.7109375" style="2" customWidth="1"/>
    <col min="2828" max="2828" width="17.140625" style="2" customWidth="1"/>
    <col min="2829" max="2829" width="0.85546875" style="2" customWidth="1"/>
    <col min="2830" max="2830" width="9.140625" style="2" customWidth="1"/>
    <col min="2831" max="2831" width="43.42578125" style="2" customWidth="1"/>
    <col min="2832" max="2832" width="9.140625" style="2"/>
    <col min="2833" max="2840" width="9.140625" style="2" customWidth="1"/>
    <col min="2841" max="2841" width="8.85546875" style="2" customWidth="1"/>
    <col min="2842" max="2843" width="0" style="2" hidden="1" customWidth="1"/>
    <col min="2844" max="3072" width="9.140625" style="2"/>
    <col min="3073" max="3073" width="1.42578125" style="2" customWidth="1"/>
    <col min="3074" max="3074" width="4.28515625" style="2" customWidth="1"/>
    <col min="3075" max="3075" width="16" style="2" customWidth="1"/>
    <col min="3076" max="3076" width="32.7109375" style="2" customWidth="1"/>
    <col min="3077" max="3083" width="7.7109375" style="2" customWidth="1"/>
    <col min="3084" max="3084" width="17.140625" style="2" customWidth="1"/>
    <col min="3085" max="3085" width="0.85546875" style="2" customWidth="1"/>
    <col min="3086" max="3086" width="9.140625" style="2" customWidth="1"/>
    <col min="3087" max="3087" width="43.42578125" style="2" customWidth="1"/>
    <col min="3088" max="3088" width="9.140625" style="2"/>
    <col min="3089" max="3096" width="9.140625" style="2" customWidth="1"/>
    <col min="3097" max="3097" width="8.85546875" style="2" customWidth="1"/>
    <col min="3098" max="3099" width="0" style="2" hidden="1" customWidth="1"/>
    <col min="3100" max="3328" width="9.140625" style="2"/>
    <col min="3329" max="3329" width="1.42578125" style="2" customWidth="1"/>
    <col min="3330" max="3330" width="4.28515625" style="2" customWidth="1"/>
    <col min="3331" max="3331" width="16" style="2" customWidth="1"/>
    <col min="3332" max="3332" width="32.7109375" style="2" customWidth="1"/>
    <col min="3333" max="3339" width="7.7109375" style="2" customWidth="1"/>
    <col min="3340" max="3340" width="17.140625" style="2" customWidth="1"/>
    <col min="3341" max="3341" width="0.85546875" style="2" customWidth="1"/>
    <col min="3342" max="3342" width="9.140625" style="2" customWidth="1"/>
    <col min="3343" max="3343" width="43.42578125" style="2" customWidth="1"/>
    <col min="3344" max="3344" width="9.140625" style="2"/>
    <col min="3345" max="3352" width="9.140625" style="2" customWidth="1"/>
    <col min="3353" max="3353" width="8.85546875" style="2" customWidth="1"/>
    <col min="3354" max="3355" width="0" style="2" hidden="1" customWidth="1"/>
    <col min="3356" max="3584" width="9.140625" style="2"/>
    <col min="3585" max="3585" width="1.42578125" style="2" customWidth="1"/>
    <col min="3586" max="3586" width="4.28515625" style="2" customWidth="1"/>
    <col min="3587" max="3587" width="16" style="2" customWidth="1"/>
    <col min="3588" max="3588" width="32.7109375" style="2" customWidth="1"/>
    <col min="3589" max="3595" width="7.7109375" style="2" customWidth="1"/>
    <col min="3596" max="3596" width="17.140625" style="2" customWidth="1"/>
    <col min="3597" max="3597" width="0.85546875" style="2" customWidth="1"/>
    <col min="3598" max="3598" width="9.140625" style="2" customWidth="1"/>
    <col min="3599" max="3599" width="43.42578125" style="2" customWidth="1"/>
    <col min="3600" max="3600" width="9.140625" style="2"/>
    <col min="3601" max="3608" width="9.140625" style="2" customWidth="1"/>
    <col min="3609" max="3609" width="8.85546875" style="2" customWidth="1"/>
    <col min="3610" max="3611" width="0" style="2" hidden="1" customWidth="1"/>
    <col min="3612" max="3840" width="9.140625" style="2"/>
    <col min="3841" max="3841" width="1.42578125" style="2" customWidth="1"/>
    <col min="3842" max="3842" width="4.28515625" style="2" customWidth="1"/>
    <col min="3843" max="3843" width="16" style="2" customWidth="1"/>
    <col min="3844" max="3844" width="32.7109375" style="2" customWidth="1"/>
    <col min="3845" max="3851" width="7.7109375" style="2" customWidth="1"/>
    <col min="3852" max="3852" width="17.140625" style="2" customWidth="1"/>
    <col min="3853" max="3853" width="0.85546875" style="2" customWidth="1"/>
    <col min="3854" max="3854" width="9.140625" style="2" customWidth="1"/>
    <col min="3855" max="3855" width="43.42578125" style="2" customWidth="1"/>
    <col min="3856" max="3856" width="9.140625" style="2"/>
    <col min="3857" max="3864" width="9.140625" style="2" customWidth="1"/>
    <col min="3865" max="3865" width="8.85546875" style="2" customWidth="1"/>
    <col min="3866" max="3867" width="0" style="2" hidden="1" customWidth="1"/>
    <col min="3868" max="4096" width="9.140625" style="2"/>
    <col min="4097" max="4097" width="1.42578125" style="2" customWidth="1"/>
    <col min="4098" max="4098" width="4.28515625" style="2" customWidth="1"/>
    <col min="4099" max="4099" width="16" style="2" customWidth="1"/>
    <col min="4100" max="4100" width="32.7109375" style="2" customWidth="1"/>
    <col min="4101" max="4107" width="7.7109375" style="2" customWidth="1"/>
    <col min="4108" max="4108" width="17.140625" style="2" customWidth="1"/>
    <col min="4109" max="4109" width="0.85546875" style="2" customWidth="1"/>
    <col min="4110" max="4110" width="9.140625" style="2" customWidth="1"/>
    <col min="4111" max="4111" width="43.42578125" style="2" customWidth="1"/>
    <col min="4112" max="4112" width="9.140625" style="2"/>
    <col min="4113" max="4120" width="9.140625" style="2" customWidth="1"/>
    <col min="4121" max="4121" width="8.85546875" style="2" customWidth="1"/>
    <col min="4122" max="4123" width="0" style="2" hidden="1" customWidth="1"/>
    <col min="4124" max="4352" width="9.140625" style="2"/>
    <col min="4353" max="4353" width="1.42578125" style="2" customWidth="1"/>
    <col min="4354" max="4354" width="4.28515625" style="2" customWidth="1"/>
    <col min="4355" max="4355" width="16" style="2" customWidth="1"/>
    <col min="4356" max="4356" width="32.7109375" style="2" customWidth="1"/>
    <col min="4357" max="4363" width="7.7109375" style="2" customWidth="1"/>
    <col min="4364" max="4364" width="17.140625" style="2" customWidth="1"/>
    <col min="4365" max="4365" width="0.85546875" style="2" customWidth="1"/>
    <col min="4366" max="4366" width="9.140625" style="2" customWidth="1"/>
    <col min="4367" max="4367" width="43.42578125" style="2" customWidth="1"/>
    <col min="4368" max="4368" width="9.140625" style="2"/>
    <col min="4369" max="4376" width="9.140625" style="2" customWidth="1"/>
    <col min="4377" max="4377" width="8.85546875" style="2" customWidth="1"/>
    <col min="4378" max="4379" width="0" style="2" hidden="1" customWidth="1"/>
    <col min="4380" max="4608" width="9.140625" style="2"/>
    <col min="4609" max="4609" width="1.42578125" style="2" customWidth="1"/>
    <col min="4610" max="4610" width="4.28515625" style="2" customWidth="1"/>
    <col min="4611" max="4611" width="16" style="2" customWidth="1"/>
    <col min="4612" max="4612" width="32.7109375" style="2" customWidth="1"/>
    <col min="4613" max="4619" width="7.7109375" style="2" customWidth="1"/>
    <col min="4620" max="4620" width="17.140625" style="2" customWidth="1"/>
    <col min="4621" max="4621" width="0.85546875" style="2" customWidth="1"/>
    <col min="4622" max="4622" width="9.140625" style="2" customWidth="1"/>
    <col min="4623" max="4623" width="43.42578125" style="2" customWidth="1"/>
    <col min="4624" max="4624" width="9.140625" style="2"/>
    <col min="4625" max="4632" width="9.140625" style="2" customWidth="1"/>
    <col min="4633" max="4633" width="8.85546875" style="2" customWidth="1"/>
    <col min="4634" max="4635" width="0" style="2" hidden="1" customWidth="1"/>
    <col min="4636" max="4864" width="9.140625" style="2"/>
    <col min="4865" max="4865" width="1.42578125" style="2" customWidth="1"/>
    <col min="4866" max="4866" width="4.28515625" style="2" customWidth="1"/>
    <col min="4867" max="4867" width="16" style="2" customWidth="1"/>
    <col min="4868" max="4868" width="32.7109375" style="2" customWidth="1"/>
    <col min="4869" max="4875" width="7.7109375" style="2" customWidth="1"/>
    <col min="4876" max="4876" width="17.140625" style="2" customWidth="1"/>
    <col min="4877" max="4877" width="0.85546875" style="2" customWidth="1"/>
    <col min="4878" max="4878" width="9.140625" style="2" customWidth="1"/>
    <col min="4879" max="4879" width="43.42578125" style="2" customWidth="1"/>
    <col min="4880" max="4880" width="9.140625" style="2"/>
    <col min="4881" max="4888" width="9.140625" style="2" customWidth="1"/>
    <col min="4889" max="4889" width="8.85546875" style="2" customWidth="1"/>
    <col min="4890" max="4891" width="0" style="2" hidden="1" customWidth="1"/>
    <col min="4892" max="5120" width="9.140625" style="2"/>
    <col min="5121" max="5121" width="1.42578125" style="2" customWidth="1"/>
    <col min="5122" max="5122" width="4.28515625" style="2" customWidth="1"/>
    <col min="5123" max="5123" width="16" style="2" customWidth="1"/>
    <col min="5124" max="5124" width="32.7109375" style="2" customWidth="1"/>
    <col min="5125" max="5131" width="7.7109375" style="2" customWidth="1"/>
    <col min="5132" max="5132" width="17.140625" style="2" customWidth="1"/>
    <col min="5133" max="5133" width="0.85546875" style="2" customWidth="1"/>
    <col min="5134" max="5134" width="9.140625" style="2" customWidth="1"/>
    <col min="5135" max="5135" width="43.42578125" style="2" customWidth="1"/>
    <col min="5136" max="5136" width="9.140625" style="2"/>
    <col min="5137" max="5144" width="9.140625" style="2" customWidth="1"/>
    <col min="5145" max="5145" width="8.85546875" style="2" customWidth="1"/>
    <col min="5146" max="5147" width="0" style="2" hidden="1" customWidth="1"/>
    <col min="5148" max="5376" width="9.140625" style="2"/>
    <col min="5377" max="5377" width="1.42578125" style="2" customWidth="1"/>
    <col min="5378" max="5378" width="4.28515625" style="2" customWidth="1"/>
    <col min="5379" max="5379" width="16" style="2" customWidth="1"/>
    <col min="5380" max="5380" width="32.7109375" style="2" customWidth="1"/>
    <col min="5381" max="5387" width="7.7109375" style="2" customWidth="1"/>
    <col min="5388" max="5388" width="17.140625" style="2" customWidth="1"/>
    <col min="5389" max="5389" width="0.85546875" style="2" customWidth="1"/>
    <col min="5390" max="5390" width="9.140625" style="2" customWidth="1"/>
    <col min="5391" max="5391" width="43.42578125" style="2" customWidth="1"/>
    <col min="5392" max="5392" width="9.140625" style="2"/>
    <col min="5393" max="5400" width="9.140625" style="2" customWidth="1"/>
    <col min="5401" max="5401" width="8.85546875" style="2" customWidth="1"/>
    <col min="5402" max="5403" width="0" style="2" hidden="1" customWidth="1"/>
    <col min="5404" max="5632" width="9.140625" style="2"/>
    <col min="5633" max="5633" width="1.42578125" style="2" customWidth="1"/>
    <col min="5634" max="5634" width="4.28515625" style="2" customWidth="1"/>
    <col min="5635" max="5635" width="16" style="2" customWidth="1"/>
    <col min="5636" max="5636" width="32.7109375" style="2" customWidth="1"/>
    <col min="5637" max="5643" width="7.7109375" style="2" customWidth="1"/>
    <col min="5644" max="5644" width="17.140625" style="2" customWidth="1"/>
    <col min="5645" max="5645" width="0.85546875" style="2" customWidth="1"/>
    <col min="5646" max="5646" width="9.140625" style="2" customWidth="1"/>
    <col min="5647" max="5647" width="43.42578125" style="2" customWidth="1"/>
    <col min="5648" max="5648" width="9.140625" style="2"/>
    <col min="5649" max="5656" width="9.140625" style="2" customWidth="1"/>
    <col min="5657" max="5657" width="8.85546875" style="2" customWidth="1"/>
    <col min="5658" max="5659" width="0" style="2" hidden="1" customWidth="1"/>
    <col min="5660" max="5888" width="9.140625" style="2"/>
    <col min="5889" max="5889" width="1.42578125" style="2" customWidth="1"/>
    <col min="5890" max="5890" width="4.28515625" style="2" customWidth="1"/>
    <col min="5891" max="5891" width="16" style="2" customWidth="1"/>
    <col min="5892" max="5892" width="32.7109375" style="2" customWidth="1"/>
    <col min="5893" max="5899" width="7.7109375" style="2" customWidth="1"/>
    <col min="5900" max="5900" width="17.140625" style="2" customWidth="1"/>
    <col min="5901" max="5901" width="0.85546875" style="2" customWidth="1"/>
    <col min="5902" max="5902" width="9.140625" style="2" customWidth="1"/>
    <col min="5903" max="5903" width="43.42578125" style="2" customWidth="1"/>
    <col min="5904" max="5904" width="9.140625" style="2"/>
    <col min="5905" max="5912" width="9.140625" style="2" customWidth="1"/>
    <col min="5913" max="5913" width="8.85546875" style="2" customWidth="1"/>
    <col min="5914" max="5915" width="0" style="2" hidden="1" customWidth="1"/>
    <col min="5916" max="6144" width="9.140625" style="2"/>
    <col min="6145" max="6145" width="1.42578125" style="2" customWidth="1"/>
    <col min="6146" max="6146" width="4.28515625" style="2" customWidth="1"/>
    <col min="6147" max="6147" width="16" style="2" customWidth="1"/>
    <col min="6148" max="6148" width="32.7109375" style="2" customWidth="1"/>
    <col min="6149" max="6155" width="7.7109375" style="2" customWidth="1"/>
    <col min="6156" max="6156" width="17.140625" style="2" customWidth="1"/>
    <col min="6157" max="6157" width="0.85546875" style="2" customWidth="1"/>
    <col min="6158" max="6158" width="9.140625" style="2" customWidth="1"/>
    <col min="6159" max="6159" width="43.42578125" style="2" customWidth="1"/>
    <col min="6160" max="6160" width="9.140625" style="2"/>
    <col min="6161" max="6168" width="9.140625" style="2" customWidth="1"/>
    <col min="6169" max="6169" width="8.85546875" style="2" customWidth="1"/>
    <col min="6170" max="6171" width="0" style="2" hidden="1" customWidth="1"/>
    <col min="6172" max="6400" width="9.140625" style="2"/>
    <col min="6401" max="6401" width="1.42578125" style="2" customWidth="1"/>
    <col min="6402" max="6402" width="4.28515625" style="2" customWidth="1"/>
    <col min="6403" max="6403" width="16" style="2" customWidth="1"/>
    <col min="6404" max="6404" width="32.7109375" style="2" customWidth="1"/>
    <col min="6405" max="6411" width="7.7109375" style="2" customWidth="1"/>
    <col min="6412" max="6412" width="17.140625" style="2" customWidth="1"/>
    <col min="6413" max="6413" width="0.85546875" style="2" customWidth="1"/>
    <col min="6414" max="6414" width="9.140625" style="2" customWidth="1"/>
    <col min="6415" max="6415" width="43.42578125" style="2" customWidth="1"/>
    <col min="6416" max="6416" width="9.140625" style="2"/>
    <col min="6417" max="6424" width="9.140625" style="2" customWidth="1"/>
    <col min="6425" max="6425" width="8.85546875" style="2" customWidth="1"/>
    <col min="6426" max="6427" width="0" style="2" hidden="1" customWidth="1"/>
    <col min="6428" max="6656" width="9.140625" style="2"/>
    <col min="6657" max="6657" width="1.42578125" style="2" customWidth="1"/>
    <col min="6658" max="6658" width="4.28515625" style="2" customWidth="1"/>
    <col min="6659" max="6659" width="16" style="2" customWidth="1"/>
    <col min="6660" max="6660" width="32.7109375" style="2" customWidth="1"/>
    <col min="6661" max="6667" width="7.7109375" style="2" customWidth="1"/>
    <col min="6668" max="6668" width="17.140625" style="2" customWidth="1"/>
    <col min="6669" max="6669" width="0.85546875" style="2" customWidth="1"/>
    <col min="6670" max="6670" width="9.140625" style="2" customWidth="1"/>
    <col min="6671" max="6671" width="43.42578125" style="2" customWidth="1"/>
    <col min="6672" max="6672" width="9.140625" style="2"/>
    <col min="6673" max="6680" width="9.140625" style="2" customWidth="1"/>
    <col min="6681" max="6681" width="8.85546875" style="2" customWidth="1"/>
    <col min="6682" max="6683" width="0" style="2" hidden="1" customWidth="1"/>
    <col min="6684" max="6912" width="9.140625" style="2"/>
    <col min="6913" max="6913" width="1.42578125" style="2" customWidth="1"/>
    <col min="6914" max="6914" width="4.28515625" style="2" customWidth="1"/>
    <col min="6915" max="6915" width="16" style="2" customWidth="1"/>
    <col min="6916" max="6916" width="32.7109375" style="2" customWidth="1"/>
    <col min="6917" max="6923" width="7.7109375" style="2" customWidth="1"/>
    <col min="6924" max="6924" width="17.140625" style="2" customWidth="1"/>
    <col min="6925" max="6925" width="0.85546875" style="2" customWidth="1"/>
    <col min="6926" max="6926" width="9.140625" style="2" customWidth="1"/>
    <col min="6927" max="6927" width="43.42578125" style="2" customWidth="1"/>
    <col min="6928" max="6928" width="9.140625" style="2"/>
    <col min="6929" max="6936" width="9.140625" style="2" customWidth="1"/>
    <col min="6937" max="6937" width="8.85546875" style="2" customWidth="1"/>
    <col min="6938" max="6939" width="0" style="2" hidden="1" customWidth="1"/>
    <col min="6940" max="7168" width="9.140625" style="2"/>
    <col min="7169" max="7169" width="1.42578125" style="2" customWidth="1"/>
    <col min="7170" max="7170" width="4.28515625" style="2" customWidth="1"/>
    <col min="7171" max="7171" width="16" style="2" customWidth="1"/>
    <col min="7172" max="7172" width="32.7109375" style="2" customWidth="1"/>
    <col min="7173" max="7179" width="7.7109375" style="2" customWidth="1"/>
    <col min="7180" max="7180" width="17.140625" style="2" customWidth="1"/>
    <col min="7181" max="7181" width="0.85546875" style="2" customWidth="1"/>
    <col min="7182" max="7182" width="9.140625" style="2" customWidth="1"/>
    <col min="7183" max="7183" width="43.42578125" style="2" customWidth="1"/>
    <col min="7184" max="7184" width="9.140625" style="2"/>
    <col min="7185" max="7192" width="9.140625" style="2" customWidth="1"/>
    <col min="7193" max="7193" width="8.85546875" style="2" customWidth="1"/>
    <col min="7194" max="7195" width="0" style="2" hidden="1" customWidth="1"/>
    <col min="7196" max="7424" width="9.140625" style="2"/>
    <col min="7425" max="7425" width="1.42578125" style="2" customWidth="1"/>
    <col min="7426" max="7426" width="4.28515625" style="2" customWidth="1"/>
    <col min="7427" max="7427" width="16" style="2" customWidth="1"/>
    <col min="7428" max="7428" width="32.7109375" style="2" customWidth="1"/>
    <col min="7429" max="7435" width="7.7109375" style="2" customWidth="1"/>
    <col min="7436" max="7436" width="17.140625" style="2" customWidth="1"/>
    <col min="7437" max="7437" width="0.85546875" style="2" customWidth="1"/>
    <col min="7438" max="7438" width="9.140625" style="2" customWidth="1"/>
    <col min="7439" max="7439" width="43.42578125" style="2" customWidth="1"/>
    <col min="7440" max="7440" width="9.140625" style="2"/>
    <col min="7441" max="7448" width="9.140625" style="2" customWidth="1"/>
    <col min="7449" max="7449" width="8.85546875" style="2" customWidth="1"/>
    <col min="7450" max="7451" width="0" style="2" hidden="1" customWidth="1"/>
    <col min="7452" max="7680" width="9.140625" style="2"/>
    <col min="7681" max="7681" width="1.42578125" style="2" customWidth="1"/>
    <col min="7682" max="7682" width="4.28515625" style="2" customWidth="1"/>
    <col min="7683" max="7683" width="16" style="2" customWidth="1"/>
    <col min="7684" max="7684" width="32.7109375" style="2" customWidth="1"/>
    <col min="7685" max="7691" width="7.7109375" style="2" customWidth="1"/>
    <col min="7692" max="7692" width="17.140625" style="2" customWidth="1"/>
    <col min="7693" max="7693" width="0.85546875" style="2" customWidth="1"/>
    <col min="7694" max="7694" width="9.140625" style="2" customWidth="1"/>
    <col min="7695" max="7695" width="43.42578125" style="2" customWidth="1"/>
    <col min="7696" max="7696" width="9.140625" style="2"/>
    <col min="7697" max="7704" width="9.140625" style="2" customWidth="1"/>
    <col min="7705" max="7705" width="8.85546875" style="2" customWidth="1"/>
    <col min="7706" max="7707" width="0" style="2" hidden="1" customWidth="1"/>
    <col min="7708" max="7936" width="9.140625" style="2"/>
    <col min="7937" max="7937" width="1.42578125" style="2" customWidth="1"/>
    <col min="7938" max="7938" width="4.28515625" style="2" customWidth="1"/>
    <col min="7939" max="7939" width="16" style="2" customWidth="1"/>
    <col min="7940" max="7940" width="32.7109375" style="2" customWidth="1"/>
    <col min="7941" max="7947" width="7.7109375" style="2" customWidth="1"/>
    <col min="7948" max="7948" width="17.140625" style="2" customWidth="1"/>
    <col min="7949" max="7949" width="0.85546875" style="2" customWidth="1"/>
    <col min="7950" max="7950" width="9.140625" style="2" customWidth="1"/>
    <col min="7951" max="7951" width="43.42578125" style="2" customWidth="1"/>
    <col min="7952" max="7952" width="9.140625" style="2"/>
    <col min="7953" max="7960" width="9.140625" style="2" customWidth="1"/>
    <col min="7961" max="7961" width="8.85546875" style="2" customWidth="1"/>
    <col min="7962" max="7963" width="0" style="2" hidden="1" customWidth="1"/>
    <col min="7964" max="8192" width="9.140625" style="2"/>
    <col min="8193" max="8193" width="1.42578125" style="2" customWidth="1"/>
    <col min="8194" max="8194" width="4.28515625" style="2" customWidth="1"/>
    <col min="8195" max="8195" width="16" style="2" customWidth="1"/>
    <col min="8196" max="8196" width="32.7109375" style="2" customWidth="1"/>
    <col min="8197" max="8203" width="7.7109375" style="2" customWidth="1"/>
    <col min="8204" max="8204" width="17.140625" style="2" customWidth="1"/>
    <col min="8205" max="8205" width="0.85546875" style="2" customWidth="1"/>
    <col min="8206" max="8206" width="9.140625" style="2" customWidth="1"/>
    <col min="8207" max="8207" width="43.42578125" style="2" customWidth="1"/>
    <col min="8208" max="8208" width="9.140625" style="2"/>
    <col min="8209" max="8216" width="9.140625" style="2" customWidth="1"/>
    <col min="8217" max="8217" width="8.85546875" style="2" customWidth="1"/>
    <col min="8218" max="8219" width="0" style="2" hidden="1" customWidth="1"/>
    <col min="8220" max="8448" width="9.140625" style="2"/>
    <col min="8449" max="8449" width="1.42578125" style="2" customWidth="1"/>
    <col min="8450" max="8450" width="4.28515625" style="2" customWidth="1"/>
    <col min="8451" max="8451" width="16" style="2" customWidth="1"/>
    <col min="8452" max="8452" width="32.7109375" style="2" customWidth="1"/>
    <col min="8453" max="8459" width="7.7109375" style="2" customWidth="1"/>
    <col min="8460" max="8460" width="17.140625" style="2" customWidth="1"/>
    <col min="8461" max="8461" width="0.85546875" style="2" customWidth="1"/>
    <col min="8462" max="8462" width="9.140625" style="2" customWidth="1"/>
    <col min="8463" max="8463" width="43.42578125" style="2" customWidth="1"/>
    <col min="8464" max="8464" width="9.140625" style="2"/>
    <col min="8465" max="8472" width="9.140625" style="2" customWidth="1"/>
    <col min="8473" max="8473" width="8.85546875" style="2" customWidth="1"/>
    <col min="8474" max="8475" width="0" style="2" hidden="1" customWidth="1"/>
    <col min="8476" max="8704" width="9.140625" style="2"/>
    <col min="8705" max="8705" width="1.42578125" style="2" customWidth="1"/>
    <col min="8706" max="8706" width="4.28515625" style="2" customWidth="1"/>
    <col min="8707" max="8707" width="16" style="2" customWidth="1"/>
    <col min="8708" max="8708" width="32.7109375" style="2" customWidth="1"/>
    <col min="8709" max="8715" width="7.7109375" style="2" customWidth="1"/>
    <col min="8716" max="8716" width="17.140625" style="2" customWidth="1"/>
    <col min="8717" max="8717" width="0.85546875" style="2" customWidth="1"/>
    <col min="8718" max="8718" width="9.140625" style="2" customWidth="1"/>
    <col min="8719" max="8719" width="43.42578125" style="2" customWidth="1"/>
    <col min="8720" max="8720" width="9.140625" style="2"/>
    <col min="8721" max="8728" width="9.140625" style="2" customWidth="1"/>
    <col min="8729" max="8729" width="8.85546875" style="2" customWidth="1"/>
    <col min="8730" max="8731" width="0" style="2" hidden="1" customWidth="1"/>
    <col min="8732" max="8960" width="9.140625" style="2"/>
    <col min="8961" max="8961" width="1.42578125" style="2" customWidth="1"/>
    <col min="8962" max="8962" width="4.28515625" style="2" customWidth="1"/>
    <col min="8963" max="8963" width="16" style="2" customWidth="1"/>
    <col min="8964" max="8964" width="32.7109375" style="2" customWidth="1"/>
    <col min="8965" max="8971" width="7.7109375" style="2" customWidth="1"/>
    <col min="8972" max="8972" width="17.140625" style="2" customWidth="1"/>
    <col min="8973" max="8973" width="0.85546875" style="2" customWidth="1"/>
    <col min="8974" max="8974" width="9.140625" style="2" customWidth="1"/>
    <col min="8975" max="8975" width="43.42578125" style="2" customWidth="1"/>
    <col min="8976" max="8976" width="9.140625" style="2"/>
    <col min="8977" max="8984" width="9.140625" style="2" customWidth="1"/>
    <col min="8985" max="8985" width="8.85546875" style="2" customWidth="1"/>
    <col min="8986" max="8987" width="0" style="2" hidden="1" customWidth="1"/>
    <col min="8988" max="9216" width="9.140625" style="2"/>
    <col min="9217" max="9217" width="1.42578125" style="2" customWidth="1"/>
    <col min="9218" max="9218" width="4.28515625" style="2" customWidth="1"/>
    <col min="9219" max="9219" width="16" style="2" customWidth="1"/>
    <col min="9220" max="9220" width="32.7109375" style="2" customWidth="1"/>
    <col min="9221" max="9227" width="7.7109375" style="2" customWidth="1"/>
    <col min="9228" max="9228" width="17.140625" style="2" customWidth="1"/>
    <col min="9229" max="9229" width="0.85546875" style="2" customWidth="1"/>
    <col min="9230" max="9230" width="9.140625" style="2" customWidth="1"/>
    <col min="9231" max="9231" width="43.42578125" style="2" customWidth="1"/>
    <col min="9232" max="9232" width="9.140625" style="2"/>
    <col min="9233" max="9240" width="9.140625" style="2" customWidth="1"/>
    <col min="9241" max="9241" width="8.85546875" style="2" customWidth="1"/>
    <col min="9242" max="9243" width="0" style="2" hidden="1" customWidth="1"/>
    <col min="9244" max="9472" width="9.140625" style="2"/>
    <col min="9473" max="9473" width="1.42578125" style="2" customWidth="1"/>
    <col min="9474" max="9474" width="4.28515625" style="2" customWidth="1"/>
    <col min="9475" max="9475" width="16" style="2" customWidth="1"/>
    <col min="9476" max="9476" width="32.7109375" style="2" customWidth="1"/>
    <col min="9477" max="9483" width="7.7109375" style="2" customWidth="1"/>
    <col min="9484" max="9484" width="17.140625" style="2" customWidth="1"/>
    <col min="9485" max="9485" width="0.85546875" style="2" customWidth="1"/>
    <col min="9486" max="9486" width="9.140625" style="2" customWidth="1"/>
    <col min="9487" max="9487" width="43.42578125" style="2" customWidth="1"/>
    <col min="9488" max="9488" width="9.140625" style="2"/>
    <col min="9489" max="9496" width="9.140625" style="2" customWidth="1"/>
    <col min="9497" max="9497" width="8.85546875" style="2" customWidth="1"/>
    <col min="9498" max="9499" width="0" style="2" hidden="1" customWidth="1"/>
    <col min="9500" max="9728" width="9.140625" style="2"/>
    <col min="9729" max="9729" width="1.42578125" style="2" customWidth="1"/>
    <col min="9730" max="9730" width="4.28515625" style="2" customWidth="1"/>
    <col min="9731" max="9731" width="16" style="2" customWidth="1"/>
    <col min="9732" max="9732" width="32.7109375" style="2" customWidth="1"/>
    <col min="9733" max="9739" width="7.7109375" style="2" customWidth="1"/>
    <col min="9740" max="9740" width="17.140625" style="2" customWidth="1"/>
    <col min="9741" max="9741" width="0.85546875" style="2" customWidth="1"/>
    <col min="9742" max="9742" width="9.140625" style="2" customWidth="1"/>
    <col min="9743" max="9743" width="43.42578125" style="2" customWidth="1"/>
    <col min="9744" max="9744" width="9.140625" style="2"/>
    <col min="9745" max="9752" width="9.140625" style="2" customWidth="1"/>
    <col min="9753" max="9753" width="8.85546875" style="2" customWidth="1"/>
    <col min="9754" max="9755" width="0" style="2" hidden="1" customWidth="1"/>
    <col min="9756" max="9984" width="9.140625" style="2"/>
    <col min="9985" max="9985" width="1.42578125" style="2" customWidth="1"/>
    <col min="9986" max="9986" width="4.28515625" style="2" customWidth="1"/>
    <col min="9987" max="9987" width="16" style="2" customWidth="1"/>
    <col min="9988" max="9988" width="32.7109375" style="2" customWidth="1"/>
    <col min="9989" max="9995" width="7.7109375" style="2" customWidth="1"/>
    <col min="9996" max="9996" width="17.140625" style="2" customWidth="1"/>
    <col min="9997" max="9997" width="0.85546875" style="2" customWidth="1"/>
    <col min="9998" max="9998" width="9.140625" style="2" customWidth="1"/>
    <col min="9999" max="9999" width="43.42578125" style="2" customWidth="1"/>
    <col min="10000" max="10000" width="9.140625" style="2"/>
    <col min="10001" max="10008" width="9.140625" style="2" customWidth="1"/>
    <col min="10009" max="10009" width="8.85546875" style="2" customWidth="1"/>
    <col min="10010" max="10011" width="0" style="2" hidden="1" customWidth="1"/>
    <col min="10012" max="10240" width="9.140625" style="2"/>
    <col min="10241" max="10241" width="1.42578125" style="2" customWidth="1"/>
    <col min="10242" max="10242" width="4.28515625" style="2" customWidth="1"/>
    <col min="10243" max="10243" width="16" style="2" customWidth="1"/>
    <col min="10244" max="10244" width="32.7109375" style="2" customWidth="1"/>
    <col min="10245" max="10251" width="7.7109375" style="2" customWidth="1"/>
    <col min="10252" max="10252" width="17.140625" style="2" customWidth="1"/>
    <col min="10253" max="10253" width="0.85546875" style="2" customWidth="1"/>
    <col min="10254" max="10254" width="9.140625" style="2" customWidth="1"/>
    <col min="10255" max="10255" width="43.42578125" style="2" customWidth="1"/>
    <col min="10256" max="10256" width="9.140625" style="2"/>
    <col min="10257" max="10264" width="9.140625" style="2" customWidth="1"/>
    <col min="10265" max="10265" width="8.85546875" style="2" customWidth="1"/>
    <col min="10266" max="10267" width="0" style="2" hidden="1" customWidth="1"/>
    <col min="10268" max="10496" width="9.140625" style="2"/>
    <col min="10497" max="10497" width="1.42578125" style="2" customWidth="1"/>
    <col min="10498" max="10498" width="4.28515625" style="2" customWidth="1"/>
    <col min="10499" max="10499" width="16" style="2" customWidth="1"/>
    <col min="10500" max="10500" width="32.7109375" style="2" customWidth="1"/>
    <col min="10501" max="10507" width="7.7109375" style="2" customWidth="1"/>
    <col min="10508" max="10508" width="17.140625" style="2" customWidth="1"/>
    <col min="10509" max="10509" width="0.85546875" style="2" customWidth="1"/>
    <col min="10510" max="10510" width="9.140625" style="2" customWidth="1"/>
    <col min="10511" max="10511" width="43.42578125" style="2" customWidth="1"/>
    <col min="10512" max="10512" width="9.140625" style="2"/>
    <col min="10513" max="10520" width="9.140625" style="2" customWidth="1"/>
    <col min="10521" max="10521" width="8.85546875" style="2" customWidth="1"/>
    <col min="10522" max="10523" width="0" style="2" hidden="1" customWidth="1"/>
    <col min="10524" max="10752" width="9.140625" style="2"/>
    <col min="10753" max="10753" width="1.42578125" style="2" customWidth="1"/>
    <col min="10754" max="10754" width="4.28515625" style="2" customWidth="1"/>
    <col min="10755" max="10755" width="16" style="2" customWidth="1"/>
    <col min="10756" max="10756" width="32.7109375" style="2" customWidth="1"/>
    <col min="10757" max="10763" width="7.7109375" style="2" customWidth="1"/>
    <col min="10764" max="10764" width="17.140625" style="2" customWidth="1"/>
    <col min="10765" max="10765" width="0.85546875" style="2" customWidth="1"/>
    <col min="10766" max="10766" width="9.140625" style="2" customWidth="1"/>
    <col min="10767" max="10767" width="43.42578125" style="2" customWidth="1"/>
    <col min="10768" max="10768" width="9.140625" style="2"/>
    <col min="10769" max="10776" width="9.140625" style="2" customWidth="1"/>
    <col min="10777" max="10777" width="8.85546875" style="2" customWidth="1"/>
    <col min="10778" max="10779" width="0" style="2" hidden="1" customWidth="1"/>
    <col min="10780" max="11008" width="9.140625" style="2"/>
    <col min="11009" max="11009" width="1.42578125" style="2" customWidth="1"/>
    <col min="11010" max="11010" width="4.28515625" style="2" customWidth="1"/>
    <col min="11011" max="11011" width="16" style="2" customWidth="1"/>
    <col min="11012" max="11012" width="32.7109375" style="2" customWidth="1"/>
    <col min="11013" max="11019" width="7.7109375" style="2" customWidth="1"/>
    <col min="11020" max="11020" width="17.140625" style="2" customWidth="1"/>
    <col min="11021" max="11021" width="0.85546875" style="2" customWidth="1"/>
    <col min="11022" max="11022" width="9.140625" style="2" customWidth="1"/>
    <col min="11023" max="11023" width="43.42578125" style="2" customWidth="1"/>
    <col min="11024" max="11024" width="9.140625" style="2"/>
    <col min="11025" max="11032" width="9.140625" style="2" customWidth="1"/>
    <col min="11033" max="11033" width="8.85546875" style="2" customWidth="1"/>
    <col min="11034" max="11035" width="0" style="2" hidden="1" customWidth="1"/>
    <col min="11036" max="11264" width="9.140625" style="2"/>
    <col min="11265" max="11265" width="1.42578125" style="2" customWidth="1"/>
    <col min="11266" max="11266" width="4.28515625" style="2" customWidth="1"/>
    <col min="11267" max="11267" width="16" style="2" customWidth="1"/>
    <col min="11268" max="11268" width="32.7109375" style="2" customWidth="1"/>
    <col min="11269" max="11275" width="7.7109375" style="2" customWidth="1"/>
    <col min="11276" max="11276" width="17.140625" style="2" customWidth="1"/>
    <col min="11277" max="11277" width="0.85546875" style="2" customWidth="1"/>
    <col min="11278" max="11278" width="9.140625" style="2" customWidth="1"/>
    <col min="11279" max="11279" width="43.42578125" style="2" customWidth="1"/>
    <col min="11280" max="11280" width="9.140625" style="2"/>
    <col min="11281" max="11288" width="9.140625" style="2" customWidth="1"/>
    <col min="11289" max="11289" width="8.85546875" style="2" customWidth="1"/>
    <col min="11290" max="11291" width="0" style="2" hidden="1" customWidth="1"/>
    <col min="11292" max="11520" width="9.140625" style="2"/>
    <col min="11521" max="11521" width="1.42578125" style="2" customWidth="1"/>
    <col min="11522" max="11522" width="4.28515625" style="2" customWidth="1"/>
    <col min="11523" max="11523" width="16" style="2" customWidth="1"/>
    <col min="11524" max="11524" width="32.7109375" style="2" customWidth="1"/>
    <col min="11525" max="11531" width="7.7109375" style="2" customWidth="1"/>
    <col min="11532" max="11532" width="17.140625" style="2" customWidth="1"/>
    <col min="11533" max="11533" width="0.85546875" style="2" customWidth="1"/>
    <col min="11534" max="11534" width="9.140625" style="2" customWidth="1"/>
    <col min="11535" max="11535" width="43.42578125" style="2" customWidth="1"/>
    <col min="11536" max="11536" width="9.140625" style="2"/>
    <col min="11537" max="11544" width="9.140625" style="2" customWidth="1"/>
    <col min="11545" max="11545" width="8.85546875" style="2" customWidth="1"/>
    <col min="11546" max="11547" width="0" style="2" hidden="1" customWidth="1"/>
    <col min="11548" max="11776" width="9.140625" style="2"/>
    <col min="11777" max="11777" width="1.42578125" style="2" customWidth="1"/>
    <col min="11778" max="11778" width="4.28515625" style="2" customWidth="1"/>
    <col min="11779" max="11779" width="16" style="2" customWidth="1"/>
    <col min="11780" max="11780" width="32.7109375" style="2" customWidth="1"/>
    <col min="11781" max="11787" width="7.7109375" style="2" customWidth="1"/>
    <col min="11788" max="11788" width="17.140625" style="2" customWidth="1"/>
    <col min="11789" max="11789" width="0.85546875" style="2" customWidth="1"/>
    <col min="11790" max="11790" width="9.140625" style="2" customWidth="1"/>
    <col min="11791" max="11791" width="43.42578125" style="2" customWidth="1"/>
    <col min="11792" max="11792" width="9.140625" style="2"/>
    <col min="11793" max="11800" width="9.140625" style="2" customWidth="1"/>
    <col min="11801" max="11801" width="8.85546875" style="2" customWidth="1"/>
    <col min="11802" max="11803" width="0" style="2" hidden="1" customWidth="1"/>
    <col min="11804" max="12032" width="9.140625" style="2"/>
    <col min="12033" max="12033" width="1.42578125" style="2" customWidth="1"/>
    <col min="12034" max="12034" width="4.28515625" style="2" customWidth="1"/>
    <col min="12035" max="12035" width="16" style="2" customWidth="1"/>
    <col min="12036" max="12036" width="32.7109375" style="2" customWidth="1"/>
    <col min="12037" max="12043" width="7.7109375" style="2" customWidth="1"/>
    <col min="12044" max="12044" width="17.140625" style="2" customWidth="1"/>
    <col min="12045" max="12045" width="0.85546875" style="2" customWidth="1"/>
    <col min="12046" max="12046" width="9.140625" style="2" customWidth="1"/>
    <col min="12047" max="12047" width="43.42578125" style="2" customWidth="1"/>
    <col min="12048" max="12048" width="9.140625" style="2"/>
    <col min="12049" max="12056" width="9.140625" style="2" customWidth="1"/>
    <col min="12057" max="12057" width="8.85546875" style="2" customWidth="1"/>
    <col min="12058" max="12059" width="0" style="2" hidden="1" customWidth="1"/>
    <col min="12060" max="12288" width="9.140625" style="2"/>
    <col min="12289" max="12289" width="1.42578125" style="2" customWidth="1"/>
    <col min="12290" max="12290" width="4.28515625" style="2" customWidth="1"/>
    <col min="12291" max="12291" width="16" style="2" customWidth="1"/>
    <col min="12292" max="12292" width="32.7109375" style="2" customWidth="1"/>
    <col min="12293" max="12299" width="7.7109375" style="2" customWidth="1"/>
    <col min="12300" max="12300" width="17.140625" style="2" customWidth="1"/>
    <col min="12301" max="12301" width="0.85546875" style="2" customWidth="1"/>
    <col min="12302" max="12302" width="9.140625" style="2" customWidth="1"/>
    <col min="12303" max="12303" width="43.42578125" style="2" customWidth="1"/>
    <col min="12304" max="12304" width="9.140625" style="2"/>
    <col min="12305" max="12312" width="9.140625" style="2" customWidth="1"/>
    <col min="12313" max="12313" width="8.85546875" style="2" customWidth="1"/>
    <col min="12314" max="12315" width="0" style="2" hidden="1" customWidth="1"/>
    <col min="12316" max="12544" width="9.140625" style="2"/>
    <col min="12545" max="12545" width="1.42578125" style="2" customWidth="1"/>
    <col min="12546" max="12546" width="4.28515625" style="2" customWidth="1"/>
    <col min="12547" max="12547" width="16" style="2" customWidth="1"/>
    <col min="12548" max="12548" width="32.7109375" style="2" customWidth="1"/>
    <col min="12549" max="12555" width="7.7109375" style="2" customWidth="1"/>
    <col min="12556" max="12556" width="17.140625" style="2" customWidth="1"/>
    <col min="12557" max="12557" width="0.85546875" style="2" customWidth="1"/>
    <col min="12558" max="12558" width="9.140625" style="2" customWidth="1"/>
    <col min="12559" max="12559" width="43.42578125" style="2" customWidth="1"/>
    <col min="12560" max="12560" width="9.140625" style="2"/>
    <col min="12561" max="12568" width="9.140625" style="2" customWidth="1"/>
    <col min="12569" max="12569" width="8.85546875" style="2" customWidth="1"/>
    <col min="12570" max="12571" width="0" style="2" hidden="1" customWidth="1"/>
    <col min="12572" max="12800" width="9.140625" style="2"/>
    <col min="12801" max="12801" width="1.42578125" style="2" customWidth="1"/>
    <col min="12802" max="12802" width="4.28515625" style="2" customWidth="1"/>
    <col min="12803" max="12803" width="16" style="2" customWidth="1"/>
    <col min="12804" max="12804" width="32.7109375" style="2" customWidth="1"/>
    <col min="12805" max="12811" width="7.7109375" style="2" customWidth="1"/>
    <col min="12812" max="12812" width="17.140625" style="2" customWidth="1"/>
    <col min="12813" max="12813" width="0.85546875" style="2" customWidth="1"/>
    <col min="12814" max="12814" width="9.140625" style="2" customWidth="1"/>
    <col min="12815" max="12815" width="43.42578125" style="2" customWidth="1"/>
    <col min="12816" max="12816" width="9.140625" style="2"/>
    <col min="12817" max="12824" width="9.140625" style="2" customWidth="1"/>
    <col min="12825" max="12825" width="8.85546875" style="2" customWidth="1"/>
    <col min="12826" max="12827" width="0" style="2" hidden="1" customWidth="1"/>
    <col min="12828" max="13056" width="9.140625" style="2"/>
    <col min="13057" max="13057" width="1.42578125" style="2" customWidth="1"/>
    <col min="13058" max="13058" width="4.28515625" style="2" customWidth="1"/>
    <col min="13059" max="13059" width="16" style="2" customWidth="1"/>
    <col min="13060" max="13060" width="32.7109375" style="2" customWidth="1"/>
    <col min="13061" max="13067" width="7.7109375" style="2" customWidth="1"/>
    <col min="13068" max="13068" width="17.140625" style="2" customWidth="1"/>
    <col min="13069" max="13069" width="0.85546875" style="2" customWidth="1"/>
    <col min="13070" max="13070" width="9.140625" style="2" customWidth="1"/>
    <col min="13071" max="13071" width="43.42578125" style="2" customWidth="1"/>
    <col min="13072" max="13072" width="9.140625" style="2"/>
    <col min="13073" max="13080" width="9.140625" style="2" customWidth="1"/>
    <col min="13081" max="13081" width="8.85546875" style="2" customWidth="1"/>
    <col min="13082" max="13083" width="0" style="2" hidden="1" customWidth="1"/>
    <col min="13084" max="13312" width="9.140625" style="2"/>
    <col min="13313" max="13313" width="1.42578125" style="2" customWidth="1"/>
    <col min="13314" max="13314" width="4.28515625" style="2" customWidth="1"/>
    <col min="13315" max="13315" width="16" style="2" customWidth="1"/>
    <col min="13316" max="13316" width="32.7109375" style="2" customWidth="1"/>
    <col min="13317" max="13323" width="7.7109375" style="2" customWidth="1"/>
    <col min="13324" max="13324" width="17.140625" style="2" customWidth="1"/>
    <col min="13325" max="13325" width="0.85546875" style="2" customWidth="1"/>
    <col min="13326" max="13326" width="9.140625" style="2" customWidth="1"/>
    <col min="13327" max="13327" width="43.42578125" style="2" customWidth="1"/>
    <col min="13328" max="13328" width="9.140625" style="2"/>
    <col min="13329" max="13336" width="9.140625" style="2" customWidth="1"/>
    <col min="13337" max="13337" width="8.85546875" style="2" customWidth="1"/>
    <col min="13338" max="13339" width="0" style="2" hidden="1" customWidth="1"/>
    <col min="13340" max="13568" width="9.140625" style="2"/>
    <col min="13569" max="13569" width="1.42578125" style="2" customWidth="1"/>
    <col min="13570" max="13570" width="4.28515625" style="2" customWidth="1"/>
    <col min="13571" max="13571" width="16" style="2" customWidth="1"/>
    <col min="13572" max="13572" width="32.7109375" style="2" customWidth="1"/>
    <col min="13573" max="13579" width="7.7109375" style="2" customWidth="1"/>
    <col min="13580" max="13580" width="17.140625" style="2" customWidth="1"/>
    <col min="13581" max="13581" width="0.85546875" style="2" customWidth="1"/>
    <col min="13582" max="13582" width="9.140625" style="2" customWidth="1"/>
    <col min="13583" max="13583" width="43.42578125" style="2" customWidth="1"/>
    <col min="13584" max="13584" width="9.140625" style="2"/>
    <col min="13585" max="13592" width="9.140625" style="2" customWidth="1"/>
    <col min="13593" max="13593" width="8.85546875" style="2" customWidth="1"/>
    <col min="13594" max="13595" width="0" style="2" hidden="1" customWidth="1"/>
    <col min="13596" max="13824" width="9.140625" style="2"/>
    <col min="13825" max="13825" width="1.42578125" style="2" customWidth="1"/>
    <col min="13826" max="13826" width="4.28515625" style="2" customWidth="1"/>
    <col min="13827" max="13827" width="16" style="2" customWidth="1"/>
    <col min="13828" max="13828" width="32.7109375" style="2" customWidth="1"/>
    <col min="13829" max="13835" width="7.7109375" style="2" customWidth="1"/>
    <col min="13836" max="13836" width="17.140625" style="2" customWidth="1"/>
    <col min="13837" max="13837" width="0.85546875" style="2" customWidth="1"/>
    <col min="13838" max="13838" width="9.140625" style="2" customWidth="1"/>
    <col min="13839" max="13839" width="43.42578125" style="2" customWidth="1"/>
    <col min="13840" max="13840" width="9.140625" style="2"/>
    <col min="13841" max="13848" width="9.140625" style="2" customWidth="1"/>
    <col min="13849" max="13849" width="8.85546875" style="2" customWidth="1"/>
    <col min="13850" max="13851" width="0" style="2" hidden="1" customWidth="1"/>
    <col min="13852" max="14080" width="9.140625" style="2"/>
    <col min="14081" max="14081" width="1.42578125" style="2" customWidth="1"/>
    <col min="14082" max="14082" width="4.28515625" style="2" customWidth="1"/>
    <col min="14083" max="14083" width="16" style="2" customWidth="1"/>
    <col min="14084" max="14084" width="32.7109375" style="2" customWidth="1"/>
    <col min="14085" max="14091" width="7.7109375" style="2" customWidth="1"/>
    <col min="14092" max="14092" width="17.140625" style="2" customWidth="1"/>
    <col min="14093" max="14093" width="0.85546875" style="2" customWidth="1"/>
    <col min="14094" max="14094" width="9.140625" style="2" customWidth="1"/>
    <col min="14095" max="14095" width="43.42578125" style="2" customWidth="1"/>
    <col min="14096" max="14096" width="9.140625" style="2"/>
    <col min="14097" max="14104" width="9.140625" style="2" customWidth="1"/>
    <col min="14105" max="14105" width="8.85546875" style="2" customWidth="1"/>
    <col min="14106" max="14107" width="0" style="2" hidden="1" customWidth="1"/>
    <col min="14108" max="14336" width="9.140625" style="2"/>
    <col min="14337" max="14337" width="1.42578125" style="2" customWidth="1"/>
    <col min="14338" max="14338" width="4.28515625" style="2" customWidth="1"/>
    <col min="14339" max="14339" width="16" style="2" customWidth="1"/>
    <col min="14340" max="14340" width="32.7109375" style="2" customWidth="1"/>
    <col min="14341" max="14347" width="7.7109375" style="2" customWidth="1"/>
    <col min="14348" max="14348" width="17.140625" style="2" customWidth="1"/>
    <col min="14349" max="14349" width="0.85546875" style="2" customWidth="1"/>
    <col min="14350" max="14350" width="9.140625" style="2" customWidth="1"/>
    <col min="14351" max="14351" width="43.42578125" style="2" customWidth="1"/>
    <col min="14352" max="14352" width="9.140625" style="2"/>
    <col min="14353" max="14360" width="9.140625" style="2" customWidth="1"/>
    <col min="14361" max="14361" width="8.85546875" style="2" customWidth="1"/>
    <col min="14362" max="14363" width="0" style="2" hidden="1" customWidth="1"/>
    <col min="14364" max="14592" width="9.140625" style="2"/>
    <col min="14593" max="14593" width="1.42578125" style="2" customWidth="1"/>
    <col min="14594" max="14594" width="4.28515625" style="2" customWidth="1"/>
    <col min="14595" max="14595" width="16" style="2" customWidth="1"/>
    <col min="14596" max="14596" width="32.7109375" style="2" customWidth="1"/>
    <col min="14597" max="14603" width="7.7109375" style="2" customWidth="1"/>
    <col min="14604" max="14604" width="17.140625" style="2" customWidth="1"/>
    <col min="14605" max="14605" width="0.85546875" style="2" customWidth="1"/>
    <col min="14606" max="14606" width="9.140625" style="2" customWidth="1"/>
    <col min="14607" max="14607" width="43.42578125" style="2" customWidth="1"/>
    <col min="14608" max="14608" width="9.140625" style="2"/>
    <col min="14609" max="14616" width="9.140625" style="2" customWidth="1"/>
    <col min="14617" max="14617" width="8.85546875" style="2" customWidth="1"/>
    <col min="14618" max="14619" width="0" style="2" hidden="1" customWidth="1"/>
    <col min="14620" max="14848" width="9.140625" style="2"/>
    <col min="14849" max="14849" width="1.42578125" style="2" customWidth="1"/>
    <col min="14850" max="14850" width="4.28515625" style="2" customWidth="1"/>
    <col min="14851" max="14851" width="16" style="2" customWidth="1"/>
    <col min="14852" max="14852" width="32.7109375" style="2" customWidth="1"/>
    <col min="14853" max="14859" width="7.7109375" style="2" customWidth="1"/>
    <col min="14860" max="14860" width="17.140625" style="2" customWidth="1"/>
    <col min="14861" max="14861" width="0.85546875" style="2" customWidth="1"/>
    <col min="14862" max="14862" width="9.140625" style="2" customWidth="1"/>
    <col min="14863" max="14863" width="43.42578125" style="2" customWidth="1"/>
    <col min="14864" max="14864" width="9.140625" style="2"/>
    <col min="14865" max="14872" width="9.140625" style="2" customWidth="1"/>
    <col min="14873" max="14873" width="8.85546875" style="2" customWidth="1"/>
    <col min="14874" max="14875" width="0" style="2" hidden="1" customWidth="1"/>
    <col min="14876" max="15104" width="9.140625" style="2"/>
    <col min="15105" max="15105" width="1.42578125" style="2" customWidth="1"/>
    <col min="15106" max="15106" width="4.28515625" style="2" customWidth="1"/>
    <col min="15107" max="15107" width="16" style="2" customWidth="1"/>
    <col min="15108" max="15108" width="32.7109375" style="2" customWidth="1"/>
    <col min="15109" max="15115" width="7.7109375" style="2" customWidth="1"/>
    <col min="15116" max="15116" width="17.140625" style="2" customWidth="1"/>
    <col min="15117" max="15117" width="0.85546875" style="2" customWidth="1"/>
    <col min="15118" max="15118" width="9.140625" style="2" customWidth="1"/>
    <col min="15119" max="15119" width="43.42578125" style="2" customWidth="1"/>
    <col min="15120" max="15120" width="9.140625" style="2"/>
    <col min="15121" max="15128" width="9.140625" style="2" customWidth="1"/>
    <col min="15129" max="15129" width="8.85546875" style="2" customWidth="1"/>
    <col min="15130" max="15131" width="0" style="2" hidden="1" customWidth="1"/>
    <col min="15132" max="15360" width="9.140625" style="2"/>
    <col min="15361" max="15361" width="1.42578125" style="2" customWidth="1"/>
    <col min="15362" max="15362" width="4.28515625" style="2" customWidth="1"/>
    <col min="15363" max="15363" width="16" style="2" customWidth="1"/>
    <col min="15364" max="15364" width="32.7109375" style="2" customWidth="1"/>
    <col min="15365" max="15371" width="7.7109375" style="2" customWidth="1"/>
    <col min="15372" max="15372" width="17.140625" style="2" customWidth="1"/>
    <col min="15373" max="15373" width="0.85546875" style="2" customWidth="1"/>
    <col min="15374" max="15374" width="9.140625" style="2" customWidth="1"/>
    <col min="15375" max="15375" width="43.42578125" style="2" customWidth="1"/>
    <col min="15376" max="15376" width="9.140625" style="2"/>
    <col min="15377" max="15384" width="9.140625" style="2" customWidth="1"/>
    <col min="15385" max="15385" width="8.85546875" style="2" customWidth="1"/>
    <col min="15386" max="15387" width="0" style="2" hidden="1" customWidth="1"/>
    <col min="15388" max="15616" width="9.140625" style="2"/>
    <col min="15617" max="15617" width="1.42578125" style="2" customWidth="1"/>
    <col min="15618" max="15618" width="4.28515625" style="2" customWidth="1"/>
    <col min="15619" max="15619" width="16" style="2" customWidth="1"/>
    <col min="15620" max="15620" width="32.7109375" style="2" customWidth="1"/>
    <col min="15621" max="15627" width="7.7109375" style="2" customWidth="1"/>
    <col min="15628" max="15628" width="17.140625" style="2" customWidth="1"/>
    <col min="15629" max="15629" width="0.85546875" style="2" customWidth="1"/>
    <col min="15630" max="15630" width="9.140625" style="2" customWidth="1"/>
    <col min="15631" max="15631" width="43.42578125" style="2" customWidth="1"/>
    <col min="15632" max="15632" width="9.140625" style="2"/>
    <col min="15633" max="15640" width="9.140625" style="2" customWidth="1"/>
    <col min="15641" max="15641" width="8.85546875" style="2" customWidth="1"/>
    <col min="15642" max="15643" width="0" style="2" hidden="1" customWidth="1"/>
    <col min="15644" max="15872" width="9.140625" style="2"/>
    <col min="15873" max="15873" width="1.42578125" style="2" customWidth="1"/>
    <col min="15874" max="15874" width="4.28515625" style="2" customWidth="1"/>
    <col min="15875" max="15875" width="16" style="2" customWidth="1"/>
    <col min="15876" max="15876" width="32.7109375" style="2" customWidth="1"/>
    <col min="15877" max="15883" width="7.7109375" style="2" customWidth="1"/>
    <col min="15884" max="15884" width="17.140625" style="2" customWidth="1"/>
    <col min="15885" max="15885" width="0.85546875" style="2" customWidth="1"/>
    <col min="15886" max="15886" width="9.140625" style="2" customWidth="1"/>
    <col min="15887" max="15887" width="43.42578125" style="2" customWidth="1"/>
    <col min="15888" max="15888" width="9.140625" style="2"/>
    <col min="15889" max="15896" width="9.140625" style="2" customWidth="1"/>
    <col min="15897" max="15897" width="8.85546875" style="2" customWidth="1"/>
    <col min="15898" max="15899" width="0" style="2" hidden="1" customWidth="1"/>
    <col min="15900" max="16128" width="9.140625" style="2"/>
    <col min="16129" max="16129" width="1.42578125" style="2" customWidth="1"/>
    <col min="16130" max="16130" width="4.28515625" style="2" customWidth="1"/>
    <col min="16131" max="16131" width="16" style="2" customWidth="1"/>
    <col min="16132" max="16132" width="32.7109375" style="2" customWidth="1"/>
    <col min="16133" max="16139" width="7.7109375" style="2" customWidth="1"/>
    <col min="16140" max="16140" width="17.140625" style="2" customWidth="1"/>
    <col min="16141" max="16141" width="0.85546875" style="2" customWidth="1"/>
    <col min="16142" max="16142" width="9.140625" style="2" customWidth="1"/>
    <col min="16143" max="16143" width="43.42578125" style="2" customWidth="1"/>
    <col min="16144" max="16144" width="9.140625" style="2"/>
    <col min="16145" max="16152" width="9.140625" style="2" customWidth="1"/>
    <col min="16153" max="16153" width="8.85546875" style="2" customWidth="1"/>
    <col min="16154" max="16155" width="0" style="2" hidden="1" customWidth="1"/>
    <col min="16156" max="16384" width="9.140625" style="2"/>
  </cols>
  <sheetData>
    <row r="1" spans="1:16" ht="15" x14ac:dyDescent="0.25">
      <c r="A1" s="1"/>
      <c r="B1" s="1"/>
      <c r="H1" s="3"/>
      <c r="I1" s="3"/>
      <c r="J1" s="3"/>
      <c r="K1" s="3"/>
      <c r="L1" s="4"/>
    </row>
    <row r="2" spans="1:16" ht="15.75" x14ac:dyDescent="0.25">
      <c r="A2" s="1"/>
      <c r="B2" s="92" t="s">
        <v>0</v>
      </c>
      <c r="C2" s="92"/>
      <c r="D2" s="5"/>
      <c r="E2" s="5"/>
      <c r="F2" s="92" t="s">
        <v>1</v>
      </c>
      <c r="G2" s="93"/>
      <c r="H2" s="93"/>
      <c r="I2" s="93"/>
      <c r="J2" s="93"/>
      <c r="K2" s="93"/>
      <c r="L2" s="93"/>
    </row>
    <row r="3" spans="1:16" ht="15.75" x14ac:dyDescent="0.25">
      <c r="A3" s="1"/>
      <c r="B3" s="93" t="s">
        <v>202</v>
      </c>
      <c r="C3" s="93"/>
      <c r="D3" s="93"/>
      <c r="E3" s="93"/>
      <c r="F3" s="93" t="s">
        <v>3</v>
      </c>
      <c r="G3" s="93"/>
      <c r="H3" s="93"/>
      <c r="I3" s="93"/>
      <c r="J3" s="93"/>
      <c r="K3" s="93"/>
      <c r="L3" s="93"/>
    </row>
    <row r="4" spans="1:16" ht="15.75" x14ac:dyDescent="0.25">
      <c r="A4" s="1"/>
      <c r="B4" s="6" t="s">
        <v>201</v>
      </c>
      <c r="C4" s="6"/>
      <c r="D4" s="6"/>
      <c r="E4" s="5"/>
      <c r="F4" s="93" t="s">
        <v>200</v>
      </c>
      <c r="G4" s="93"/>
      <c r="H4" s="93"/>
      <c r="I4" s="93"/>
      <c r="J4" s="93"/>
      <c r="K4" s="93"/>
      <c r="L4" s="93"/>
    </row>
    <row r="5" spans="1:16" ht="15.75" x14ac:dyDescent="0.25">
      <c r="A5" s="1"/>
      <c r="B5" s="95"/>
      <c r="C5" s="95"/>
      <c r="D5" s="95"/>
      <c r="E5" s="5"/>
      <c r="F5" s="93" t="s">
        <v>201</v>
      </c>
      <c r="G5" s="93"/>
      <c r="H5" s="93"/>
      <c r="I5" s="93"/>
      <c r="J5" s="93"/>
      <c r="K5" s="93"/>
      <c r="L5" s="93"/>
    </row>
    <row r="6" spans="1:16" ht="15.75" x14ac:dyDescent="0.25">
      <c r="A6" s="1"/>
      <c r="B6" s="6" t="s">
        <v>203</v>
      </c>
      <c r="C6" s="6"/>
      <c r="D6" s="5"/>
      <c r="E6" s="5"/>
      <c r="F6" s="7" t="s">
        <v>6</v>
      </c>
      <c r="G6" s="7"/>
      <c r="H6" s="7" t="s">
        <v>7</v>
      </c>
      <c r="I6" s="7"/>
      <c r="J6" s="7"/>
      <c r="K6" s="7"/>
      <c r="L6" s="7"/>
    </row>
    <row r="7" spans="1:16" ht="15.75" x14ac:dyDescent="0.25">
      <c r="A7" s="1"/>
      <c r="B7" s="2" t="s">
        <v>4</v>
      </c>
      <c r="C7" s="6"/>
      <c r="D7" s="5"/>
      <c r="E7" s="5"/>
      <c r="F7" s="7" t="s">
        <v>4</v>
      </c>
      <c r="G7" s="7"/>
      <c r="H7" s="7"/>
      <c r="I7" s="7"/>
      <c r="J7" s="7"/>
      <c r="K7" s="7"/>
      <c r="L7" s="7"/>
    </row>
    <row r="8" spans="1:16" ht="15.75" x14ac:dyDescent="0.25">
      <c r="A8" s="1"/>
      <c r="B8" s="6"/>
      <c r="C8" s="6"/>
      <c r="D8" s="5"/>
      <c r="E8" s="5"/>
      <c r="K8" s="7"/>
      <c r="L8" s="7"/>
    </row>
    <row r="9" spans="1:16" ht="18" customHeight="1" x14ac:dyDescent="0.25">
      <c r="A9" s="1"/>
      <c r="B9" s="6"/>
      <c r="C9" s="5"/>
      <c r="D9" s="5"/>
      <c r="E9" s="5"/>
      <c r="K9" s="6"/>
      <c r="L9" s="8"/>
    </row>
    <row r="10" spans="1:16" ht="108" customHeight="1" x14ac:dyDescent="0.25">
      <c r="A10" s="1"/>
      <c r="B10" s="1"/>
      <c r="H10" s="3"/>
      <c r="I10" s="3"/>
      <c r="J10" s="3"/>
      <c r="K10" s="3"/>
      <c r="L10" s="4"/>
    </row>
    <row r="11" spans="1:16" ht="20.25" customHeight="1" x14ac:dyDescent="0.3">
      <c r="A11" s="91" t="s">
        <v>8</v>
      </c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"/>
      <c r="N11" s="9"/>
      <c r="O11" s="9"/>
      <c r="P11" s="9"/>
    </row>
    <row r="12" spans="1:16" ht="19.5" customHeight="1" x14ac:dyDescent="0.2">
      <c r="A12" s="10" t="s">
        <v>9</v>
      </c>
      <c r="B12" s="94" t="s">
        <v>10</v>
      </c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"/>
      <c r="N12" s="9"/>
      <c r="O12" s="9"/>
      <c r="P12" s="9"/>
    </row>
    <row r="13" spans="1:16" ht="19.5" customHeight="1" x14ac:dyDescent="0.2">
      <c r="A13" s="11"/>
      <c r="B13" s="94" t="s">
        <v>11</v>
      </c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"/>
      <c r="N13" s="9"/>
      <c r="O13" s="9"/>
      <c r="P13" s="9"/>
    </row>
    <row r="14" spans="1:16" ht="19.5" customHeight="1" x14ac:dyDescent="0.2">
      <c r="A14" s="11"/>
      <c r="B14" s="94" t="s">
        <v>12</v>
      </c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"/>
      <c r="N14" s="9"/>
      <c r="O14" s="9"/>
      <c r="P14" s="9"/>
    </row>
    <row r="15" spans="1:16" ht="19.5" customHeight="1" x14ac:dyDescent="0.2">
      <c r="A15" s="11"/>
      <c r="B15" s="94" t="s">
        <v>13</v>
      </c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"/>
      <c r="N15" s="9"/>
      <c r="O15" s="9"/>
      <c r="P15" s="9"/>
    </row>
    <row r="16" spans="1:16" ht="19.5" customHeight="1" x14ac:dyDescent="0.3">
      <c r="A16" s="12"/>
      <c r="B16" s="91" t="s">
        <v>14</v>
      </c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"/>
      <c r="N16" s="9"/>
      <c r="O16" s="9"/>
      <c r="P16" s="9"/>
    </row>
    <row r="17" spans="1:25" ht="19.5" customHeight="1" x14ac:dyDescent="0.3">
      <c r="A17" s="13"/>
      <c r="B17" s="91" t="s">
        <v>15</v>
      </c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"/>
      <c r="N17" s="9"/>
      <c r="O17" s="9"/>
      <c r="P17" s="9"/>
    </row>
    <row r="18" spans="1:25" ht="7.5" customHeight="1" x14ac:dyDescent="0.2">
      <c r="A18" s="14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14"/>
      <c r="N18" s="9"/>
      <c r="O18" s="9"/>
      <c r="P18" s="9"/>
    </row>
    <row r="19" spans="1:25" ht="2.25" customHeight="1" x14ac:dyDescent="0.3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5"/>
      <c r="M19" s="9"/>
      <c r="N19" s="9"/>
      <c r="O19" s="9"/>
      <c r="P19" s="9"/>
    </row>
    <row r="20" spans="1:25" ht="30.75" customHeight="1" x14ac:dyDescent="0.2">
      <c r="A20" s="16"/>
      <c r="B20" s="97" t="s">
        <v>16</v>
      </c>
      <c r="C20" s="98" t="s">
        <v>17</v>
      </c>
      <c r="D20" s="98" t="s">
        <v>18</v>
      </c>
      <c r="E20" s="101" t="s">
        <v>19</v>
      </c>
      <c r="F20" s="102"/>
      <c r="G20" s="102"/>
      <c r="H20" s="102"/>
      <c r="I20" s="102"/>
      <c r="J20" s="102"/>
      <c r="K20" s="103"/>
      <c r="L20" s="97" t="s">
        <v>20</v>
      </c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spans="1:25" ht="17.25" customHeight="1" x14ac:dyDescent="0.25">
      <c r="A21" s="16"/>
      <c r="B21" s="97"/>
      <c r="C21" s="99"/>
      <c r="D21" s="99"/>
      <c r="E21" s="104" t="s">
        <v>21</v>
      </c>
      <c r="F21" s="105"/>
      <c r="G21" s="105"/>
      <c r="H21" s="106"/>
      <c r="I21" s="110" t="s">
        <v>197</v>
      </c>
      <c r="J21" s="111"/>
      <c r="K21" s="112" t="s">
        <v>22</v>
      </c>
      <c r="L21" s="9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spans="1:25" ht="57.75" customHeight="1" x14ac:dyDescent="0.2">
      <c r="A22" s="16"/>
      <c r="B22" s="97"/>
      <c r="C22" s="99"/>
      <c r="D22" s="99"/>
      <c r="E22" s="107"/>
      <c r="F22" s="108"/>
      <c r="G22" s="108"/>
      <c r="H22" s="109"/>
      <c r="I22" s="115" t="s">
        <v>23</v>
      </c>
      <c r="J22" s="116"/>
      <c r="K22" s="113"/>
      <c r="L22" s="9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spans="1:25" ht="15.75" customHeight="1" x14ac:dyDescent="0.2">
      <c r="A23" s="18"/>
      <c r="B23" s="97"/>
      <c r="C23" s="100"/>
      <c r="D23" s="100"/>
      <c r="E23" s="19" t="s">
        <v>24</v>
      </c>
      <c r="F23" s="20" t="s">
        <v>25</v>
      </c>
      <c r="G23" s="20" t="s">
        <v>26</v>
      </c>
      <c r="H23" s="20" t="s">
        <v>27</v>
      </c>
      <c r="I23" s="20" t="s">
        <v>25</v>
      </c>
      <c r="J23" s="20" t="s">
        <v>26</v>
      </c>
      <c r="K23" s="114"/>
      <c r="L23" s="97"/>
      <c r="P23" s="18"/>
      <c r="Q23" s="17"/>
      <c r="R23" s="17"/>
      <c r="S23" s="17"/>
      <c r="T23" s="17"/>
      <c r="U23" s="17"/>
      <c r="V23" s="17"/>
      <c r="W23" s="17"/>
      <c r="X23" s="17"/>
      <c r="Y23" s="17"/>
    </row>
    <row r="24" spans="1:25" ht="52.5" customHeight="1" x14ac:dyDescent="0.2">
      <c r="A24" s="18"/>
      <c r="B24" s="117" t="s">
        <v>28</v>
      </c>
      <c r="C24" s="118" t="s">
        <v>29</v>
      </c>
      <c r="D24" s="21" t="s">
        <v>30</v>
      </c>
      <c r="E24" s="22">
        <v>1.2</v>
      </c>
      <c r="F24" s="23">
        <v>1.2</v>
      </c>
      <c r="G24" s="23">
        <v>1.2</v>
      </c>
      <c r="H24" s="23">
        <v>1.2</v>
      </c>
      <c r="I24" s="22">
        <v>1.2</v>
      </c>
      <c r="J24" s="23">
        <v>1.2</v>
      </c>
      <c r="K24" s="22">
        <v>1.2</v>
      </c>
      <c r="L24" s="23" t="s">
        <v>278</v>
      </c>
      <c r="P24" s="18"/>
      <c r="Q24" s="24"/>
      <c r="R24" s="24"/>
      <c r="S24" s="24"/>
      <c r="T24" s="17"/>
      <c r="U24" s="24"/>
      <c r="V24" s="17"/>
      <c r="W24" s="17"/>
      <c r="X24" s="17"/>
      <c r="Y24" s="17"/>
    </row>
    <row r="25" spans="1:25" ht="18" customHeight="1" x14ac:dyDescent="0.2">
      <c r="A25" s="18"/>
      <c r="B25" s="117"/>
      <c r="C25" s="119"/>
      <c r="D25" s="25" t="s">
        <v>31</v>
      </c>
      <c r="E25" s="26">
        <v>7</v>
      </c>
      <c r="F25" s="26">
        <v>7</v>
      </c>
      <c r="G25" s="26">
        <v>7</v>
      </c>
      <c r="H25" s="26">
        <v>7</v>
      </c>
      <c r="I25" s="26">
        <v>7</v>
      </c>
      <c r="J25" s="26">
        <v>7</v>
      </c>
      <c r="K25" s="27">
        <v>7</v>
      </c>
      <c r="L25" s="23" t="s">
        <v>279</v>
      </c>
      <c r="P25" s="28"/>
      <c r="Q25" s="24"/>
      <c r="R25" s="24"/>
      <c r="S25" s="24"/>
      <c r="T25" s="17"/>
      <c r="U25" s="24"/>
      <c r="V25" s="17"/>
      <c r="W25" s="17"/>
      <c r="X25" s="17"/>
      <c r="Y25" s="17"/>
    </row>
    <row r="26" spans="1:25" ht="32.25" customHeight="1" x14ac:dyDescent="0.2">
      <c r="A26" s="18"/>
      <c r="B26" s="117"/>
      <c r="C26" s="119"/>
      <c r="D26" s="25" t="s">
        <v>32</v>
      </c>
      <c r="E26" s="26">
        <v>3</v>
      </c>
      <c r="F26" s="26">
        <v>3</v>
      </c>
      <c r="G26" s="26">
        <v>3</v>
      </c>
      <c r="H26" s="26">
        <v>3</v>
      </c>
      <c r="I26" s="26">
        <v>3</v>
      </c>
      <c r="J26" s="26">
        <v>3</v>
      </c>
      <c r="K26" s="27">
        <v>3</v>
      </c>
      <c r="L26" s="23" t="s">
        <v>280</v>
      </c>
      <c r="P26" s="17"/>
      <c r="Q26" s="29"/>
      <c r="R26" s="17"/>
      <c r="S26" s="17"/>
      <c r="T26" s="17"/>
      <c r="U26" s="17"/>
      <c r="V26" s="17"/>
      <c r="W26" s="17"/>
      <c r="X26" s="17"/>
      <c r="Y26" s="17"/>
    </row>
    <row r="27" spans="1:25" ht="34.5" customHeight="1" x14ac:dyDescent="0.2">
      <c r="A27" s="18"/>
      <c r="B27" s="117"/>
      <c r="C27" s="119"/>
      <c r="D27" s="25" t="s">
        <v>33</v>
      </c>
      <c r="E27" s="80">
        <v>14.64</v>
      </c>
      <c r="F27" s="80">
        <v>14.64</v>
      </c>
      <c r="G27" s="80">
        <v>14.64</v>
      </c>
      <c r="H27" s="80">
        <v>14.64</v>
      </c>
      <c r="I27" s="80">
        <v>14.64</v>
      </c>
      <c r="J27" s="80">
        <v>14.64</v>
      </c>
      <c r="K27" s="81">
        <v>14.64</v>
      </c>
      <c r="L27" s="23" t="s">
        <v>273</v>
      </c>
      <c r="P27" s="17"/>
      <c r="Q27" s="24"/>
      <c r="R27" s="17"/>
      <c r="S27" s="17"/>
      <c r="T27" s="17"/>
      <c r="U27" s="17"/>
      <c r="V27" s="17"/>
      <c r="W27" s="17"/>
      <c r="X27" s="17"/>
      <c r="Y27" s="17"/>
    </row>
    <row r="28" spans="1:25" ht="33.75" customHeight="1" x14ac:dyDescent="0.2">
      <c r="A28" s="18"/>
      <c r="B28" s="117"/>
      <c r="C28" s="119"/>
      <c r="D28" s="25" t="s">
        <v>35</v>
      </c>
      <c r="E28" s="26">
        <v>43</v>
      </c>
      <c r="F28" s="26">
        <v>34</v>
      </c>
      <c r="G28" s="26">
        <v>26</v>
      </c>
      <c r="H28" s="26">
        <v>17</v>
      </c>
      <c r="I28" s="26">
        <v>34</v>
      </c>
      <c r="J28" s="26">
        <v>26</v>
      </c>
      <c r="K28" s="27">
        <v>42</v>
      </c>
      <c r="L28" s="23" t="s">
        <v>281</v>
      </c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spans="1:25" ht="33.75" customHeight="1" x14ac:dyDescent="0.2">
      <c r="A29" s="18"/>
      <c r="B29" s="117"/>
      <c r="C29" s="119"/>
      <c r="D29" s="25" t="s">
        <v>36</v>
      </c>
      <c r="E29" s="26"/>
      <c r="F29" s="26"/>
      <c r="G29" s="26"/>
      <c r="H29" s="26"/>
      <c r="I29" s="26">
        <v>10</v>
      </c>
      <c r="J29" s="26">
        <v>10</v>
      </c>
      <c r="K29" s="27">
        <v>10</v>
      </c>
      <c r="L29" s="23" t="s">
        <v>37</v>
      </c>
      <c r="P29" s="17"/>
      <c r="Q29" s="24"/>
      <c r="R29" s="17"/>
      <c r="S29" s="17"/>
      <c r="T29" s="17"/>
      <c r="U29" s="17"/>
      <c r="V29" s="17"/>
      <c r="W29" s="17"/>
      <c r="X29" s="17"/>
      <c r="Y29" s="17"/>
    </row>
    <row r="30" spans="1:25" ht="36" customHeight="1" x14ac:dyDescent="0.2">
      <c r="A30" s="18"/>
      <c r="B30" s="117"/>
      <c r="C30" s="119"/>
      <c r="D30" s="25" t="s">
        <v>38</v>
      </c>
      <c r="E30" s="26">
        <v>2</v>
      </c>
      <c r="F30" s="26">
        <v>2</v>
      </c>
      <c r="G30" s="26">
        <v>2</v>
      </c>
      <c r="H30" s="26">
        <v>2</v>
      </c>
      <c r="I30" s="26">
        <v>2</v>
      </c>
      <c r="J30" s="26">
        <v>2</v>
      </c>
      <c r="K30" s="27">
        <v>2</v>
      </c>
      <c r="L30" s="23" t="s">
        <v>282</v>
      </c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 spans="1:25" ht="48" customHeight="1" x14ac:dyDescent="0.2">
      <c r="A31" s="18"/>
      <c r="B31" s="117"/>
      <c r="C31" s="119"/>
      <c r="D31" s="25" t="s">
        <v>39</v>
      </c>
      <c r="E31" s="26">
        <v>4</v>
      </c>
      <c r="F31" s="26">
        <v>4</v>
      </c>
      <c r="G31" s="26">
        <v>4</v>
      </c>
      <c r="H31" s="26">
        <v>4</v>
      </c>
      <c r="I31" s="26"/>
      <c r="J31" s="26"/>
      <c r="K31" s="27"/>
      <c r="L31" s="23" t="s">
        <v>283</v>
      </c>
    </row>
    <row r="32" spans="1:25" ht="31.5" x14ac:dyDescent="0.2">
      <c r="A32" s="18"/>
      <c r="B32" s="117"/>
      <c r="C32" s="119"/>
      <c r="D32" s="30" t="s">
        <v>41</v>
      </c>
      <c r="E32" s="31">
        <f>SUM(E24:E31)</f>
        <v>74.84</v>
      </c>
      <c r="F32" s="31">
        <f t="shared" ref="F32:K32" si="0">SUM(F24:F31)</f>
        <v>65.84</v>
      </c>
      <c r="G32" s="31">
        <f t="shared" si="0"/>
        <v>57.84</v>
      </c>
      <c r="H32" s="31">
        <f t="shared" si="0"/>
        <v>48.84</v>
      </c>
      <c r="I32" s="31">
        <f t="shared" si="0"/>
        <v>71.84</v>
      </c>
      <c r="J32" s="31">
        <f t="shared" si="0"/>
        <v>63.84</v>
      </c>
      <c r="K32" s="32">
        <f t="shared" si="0"/>
        <v>79.84</v>
      </c>
      <c r="L32" s="33"/>
    </row>
    <row r="33" spans="1:12" ht="6" customHeight="1" x14ac:dyDescent="0.2">
      <c r="A33" s="18"/>
      <c r="B33" s="34"/>
      <c r="C33" s="34"/>
      <c r="D33" s="35"/>
      <c r="E33" s="36"/>
      <c r="F33" s="36"/>
      <c r="G33" s="36"/>
      <c r="H33" s="36"/>
      <c r="I33" s="36"/>
      <c r="J33" s="36"/>
      <c r="K33" s="37"/>
      <c r="L33" s="33"/>
    </row>
    <row r="34" spans="1:12" ht="30.75" customHeight="1" x14ac:dyDescent="0.2">
      <c r="A34" s="18"/>
      <c r="B34" s="118" t="s">
        <v>42</v>
      </c>
      <c r="C34" s="118" t="s">
        <v>43</v>
      </c>
      <c r="D34" s="38" t="s">
        <v>44</v>
      </c>
      <c r="E34" s="26">
        <v>1.2</v>
      </c>
      <c r="F34" s="26">
        <v>1.2</v>
      </c>
      <c r="G34" s="26">
        <v>1.2</v>
      </c>
      <c r="H34" s="26">
        <v>1.2</v>
      </c>
      <c r="I34" s="26">
        <v>1.2</v>
      </c>
      <c r="J34" s="26">
        <v>1.2</v>
      </c>
      <c r="K34" s="27">
        <v>1.2</v>
      </c>
      <c r="L34" s="23" t="s">
        <v>284</v>
      </c>
    </row>
    <row r="35" spans="1:12" ht="15.75" x14ac:dyDescent="0.2">
      <c r="A35" s="18"/>
      <c r="B35" s="119"/>
      <c r="C35" s="119"/>
      <c r="D35" s="38" t="s">
        <v>45</v>
      </c>
      <c r="E35" s="26">
        <v>7</v>
      </c>
      <c r="F35" s="26">
        <v>7</v>
      </c>
      <c r="G35" s="26">
        <v>7</v>
      </c>
      <c r="H35" s="26">
        <v>7</v>
      </c>
      <c r="I35" s="26">
        <v>7</v>
      </c>
      <c r="J35" s="26">
        <v>7</v>
      </c>
      <c r="K35" s="27">
        <v>7</v>
      </c>
      <c r="L35" s="23" t="s">
        <v>285</v>
      </c>
    </row>
    <row r="36" spans="1:12" ht="31.5" x14ac:dyDescent="0.2">
      <c r="A36" s="18"/>
      <c r="B36" s="119"/>
      <c r="C36" s="119"/>
      <c r="D36" s="38" t="s">
        <v>46</v>
      </c>
      <c r="E36" s="26">
        <v>3</v>
      </c>
      <c r="F36" s="26">
        <v>3</v>
      </c>
      <c r="G36" s="26">
        <v>3</v>
      </c>
      <c r="H36" s="26">
        <v>3</v>
      </c>
      <c r="I36" s="26">
        <v>3</v>
      </c>
      <c r="J36" s="26">
        <v>3</v>
      </c>
      <c r="K36" s="27">
        <v>3</v>
      </c>
      <c r="L36" s="23" t="s">
        <v>280</v>
      </c>
    </row>
    <row r="37" spans="1:12" ht="31.5" x14ac:dyDescent="0.2">
      <c r="A37" s="18"/>
      <c r="B37" s="119"/>
      <c r="C37" s="119"/>
      <c r="D37" s="38" t="s">
        <v>47</v>
      </c>
      <c r="E37" s="23">
        <v>14.64</v>
      </c>
      <c r="F37" s="23">
        <v>14.64</v>
      </c>
      <c r="G37" s="23">
        <v>14.64</v>
      </c>
      <c r="H37" s="23">
        <v>14.64</v>
      </c>
      <c r="I37" s="23">
        <v>14.64</v>
      </c>
      <c r="J37" s="23">
        <v>14.64</v>
      </c>
      <c r="K37" s="22">
        <v>14.64</v>
      </c>
      <c r="L37" s="23" t="s">
        <v>273</v>
      </c>
    </row>
    <row r="38" spans="1:12" ht="31.5" x14ac:dyDescent="0.2">
      <c r="A38" s="18"/>
      <c r="B38" s="119"/>
      <c r="C38" s="119"/>
      <c r="D38" s="30" t="s">
        <v>48</v>
      </c>
      <c r="E38" s="39">
        <f>SUM(E34:E37)</f>
        <v>25.84</v>
      </c>
      <c r="F38" s="39">
        <f t="shared" ref="F38:K38" si="1">SUM(F34:F37)</f>
        <v>25.84</v>
      </c>
      <c r="G38" s="39">
        <f t="shared" si="1"/>
        <v>25.84</v>
      </c>
      <c r="H38" s="39">
        <f t="shared" si="1"/>
        <v>25.84</v>
      </c>
      <c r="I38" s="39">
        <f t="shared" si="1"/>
        <v>25.84</v>
      </c>
      <c r="J38" s="39">
        <f t="shared" si="1"/>
        <v>25.84</v>
      </c>
      <c r="K38" s="40">
        <f t="shared" si="1"/>
        <v>25.84</v>
      </c>
      <c r="L38" s="23"/>
    </row>
    <row r="39" spans="1:12" ht="48" customHeight="1" x14ac:dyDescent="0.2">
      <c r="A39" s="18"/>
      <c r="B39" s="119"/>
      <c r="C39" s="119"/>
      <c r="D39" s="38" t="s">
        <v>49</v>
      </c>
      <c r="E39" s="26">
        <v>16</v>
      </c>
      <c r="F39" s="26">
        <v>13</v>
      </c>
      <c r="G39" s="26">
        <v>10</v>
      </c>
      <c r="H39" s="26">
        <v>8</v>
      </c>
      <c r="I39" s="26">
        <v>13</v>
      </c>
      <c r="J39" s="26">
        <v>10</v>
      </c>
      <c r="K39" s="27">
        <v>20</v>
      </c>
      <c r="L39" s="23" t="s">
        <v>286</v>
      </c>
    </row>
    <row r="40" spans="1:12" ht="31.5" customHeight="1" x14ac:dyDescent="0.2">
      <c r="A40" s="18"/>
      <c r="B40" s="119"/>
      <c r="C40" s="119"/>
      <c r="D40" s="38" t="s">
        <v>51</v>
      </c>
      <c r="E40" s="26">
        <v>2</v>
      </c>
      <c r="F40" s="26">
        <v>2</v>
      </c>
      <c r="G40" s="26">
        <v>2</v>
      </c>
      <c r="H40" s="26">
        <v>2</v>
      </c>
      <c r="I40" s="26">
        <v>2</v>
      </c>
      <c r="J40" s="26">
        <v>2</v>
      </c>
      <c r="K40" s="27">
        <v>2</v>
      </c>
      <c r="L40" s="23" t="s">
        <v>282</v>
      </c>
    </row>
    <row r="41" spans="1:12" ht="47.25" x14ac:dyDescent="0.2">
      <c r="A41" s="18"/>
      <c r="B41" s="119"/>
      <c r="C41" s="119"/>
      <c r="D41" s="38" t="s">
        <v>52</v>
      </c>
      <c r="E41" s="26">
        <v>4</v>
      </c>
      <c r="F41" s="26">
        <v>4</v>
      </c>
      <c r="G41" s="26">
        <v>4</v>
      </c>
      <c r="H41" s="26">
        <v>4</v>
      </c>
      <c r="I41" s="26"/>
      <c r="J41" s="26"/>
      <c r="K41" s="27"/>
      <c r="L41" s="23" t="s">
        <v>287</v>
      </c>
    </row>
    <row r="42" spans="1:12" ht="35.25" customHeight="1" x14ac:dyDescent="0.2">
      <c r="A42" s="41"/>
      <c r="B42" s="119"/>
      <c r="C42" s="119"/>
      <c r="D42" s="42" t="s">
        <v>53</v>
      </c>
      <c r="E42" s="39">
        <f t="shared" ref="E42:K42" si="2">E38+E39+E40+E41</f>
        <v>47.84</v>
      </c>
      <c r="F42" s="39">
        <f t="shared" si="2"/>
        <v>44.84</v>
      </c>
      <c r="G42" s="39">
        <f t="shared" si="2"/>
        <v>41.84</v>
      </c>
      <c r="H42" s="39">
        <f t="shared" si="2"/>
        <v>39.840000000000003</v>
      </c>
      <c r="I42" s="39">
        <f t="shared" si="2"/>
        <v>40.840000000000003</v>
      </c>
      <c r="J42" s="39">
        <f t="shared" si="2"/>
        <v>37.840000000000003</v>
      </c>
      <c r="K42" s="40">
        <f t="shared" si="2"/>
        <v>47.84</v>
      </c>
      <c r="L42" s="33"/>
    </row>
    <row r="43" spans="1:12" ht="15.75" customHeight="1" x14ac:dyDescent="0.2">
      <c r="A43" s="41"/>
      <c r="B43" s="120"/>
      <c r="C43" s="120"/>
      <c r="D43" s="42" t="s">
        <v>322</v>
      </c>
      <c r="E43" s="39"/>
      <c r="F43" s="39"/>
      <c r="G43" s="39"/>
      <c r="H43" s="39"/>
      <c r="I43" s="39"/>
      <c r="J43" s="39"/>
      <c r="K43" s="40"/>
      <c r="L43" s="33" t="s">
        <v>323</v>
      </c>
    </row>
    <row r="44" spans="1:12" ht="6" customHeight="1" x14ac:dyDescent="0.2">
      <c r="A44" s="28"/>
      <c r="B44" s="34"/>
      <c r="C44" s="34"/>
      <c r="D44" s="43"/>
      <c r="E44" s="36"/>
      <c r="F44" s="36"/>
      <c r="G44" s="36"/>
      <c r="H44" s="36"/>
      <c r="I44" s="36"/>
      <c r="J44" s="36"/>
      <c r="K44" s="36"/>
      <c r="L44" s="33"/>
    </row>
    <row r="45" spans="1:12" ht="47.25" customHeight="1" x14ac:dyDescent="0.2">
      <c r="A45" s="28"/>
      <c r="B45" s="117" t="s">
        <v>54</v>
      </c>
      <c r="C45" s="117" t="s">
        <v>55</v>
      </c>
      <c r="D45" s="44" t="s">
        <v>56</v>
      </c>
      <c r="E45" s="26">
        <v>1.2</v>
      </c>
      <c r="F45" s="26">
        <v>1.2</v>
      </c>
      <c r="G45" s="26">
        <v>1.2</v>
      </c>
      <c r="H45" s="26">
        <v>1.2</v>
      </c>
      <c r="I45" s="26">
        <v>1.2</v>
      </c>
      <c r="J45" s="26">
        <v>1.2</v>
      </c>
      <c r="K45" s="27">
        <v>1.2</v>
      </c>
      <c r="L45" s="23" t="s">
        <v>284</v>
      </c>
    </row>
    <row r="46" spans="1:12" ht="18.75" customHeight="1" x14ac:dyDescent="0.2">
      <c r="A46" s="28"/>
      <c r="B46" s="117"/>
      <c r="C46" s="117"/>
      <c r="D46" s="38" t="s">
        <v>57</v>
      </c>
      <c r="E46" s="26">
        <v>7</v>
      </c>
      <c r="F46" s="26">
        <v>7</v>
      </c>
      <c r="G46" s="26">
        <v>7</v>
      </c>
      <c r="H46" s="26">
        <v>7</v>
      </c>
      <c r="I46" s="26">
        <v>7</v>
      </c>
      <c r="J46" s="26">
        <v>7</v>
      </c>
      <c r="K46" s="27">
        <v>7</v>
      </c>
      <c r="L46" s="23" t="s">
        <v>279</v>
      </c>
    </row>
    <row r="47" spans="1:12" ht="31.5" x14ac:dyDescent="0.2">
      <c r="A47" s="28"/>
      <c r="B47" s="117"/>
      <c r="C47" s="117"/>
      <c r="D47" s="44" t="s">
        <v>58</v>
      </c>
      <c r="E47" s="26">
        <v>3</v>
      </c>
      <c r="F47" s="26">
        <v>3</v>
      </c>
      <c r="G47" s="26">
        <v>3</v>
      </c>
      <c r="H47" s="26">
        <v>3</v>
      </c>
      <c r="I47" s="26">
        <v>3</v>
      </c>
      <c r="J47" s="26">
        <v>3</v>
      </c>
      <c r="K47" s="27">
        <v>3</v>
      </c>
      <c r="L47" s="23" t="s">
        <v>280</v>
      </c>
    </row>
    <row r="48" spans="1:12" ht="31.5" customHeight="1" x14ac:dyDescent="0.2">
      <c r="A48" s="28"/>
      <c r="B48" s="117"/>
      <c r="C48" s="117"/>
      <c r="D48" s="44" t="s">
        <v>59</v>
      </c>
      <c r="E48" s="26">
        <v>3.6</v>
      </c>
      <c r="F48" s="26">
        <v>3.6</v>
      </c>
      <c r="G48" s="26">
        <v>3.6</v>
      </c>
      <c r="H48" s="26">
        <v>3.6</v>
      </c>
      <c r="I48" s="26">
        <v>3.6</v>
      </c>
      <c r="J48" s="26">
        <v>3.6</v>
      </c>
      <c r="K48" s="26">
        <v>3.6</v>
      </c>
      <c r="L48" s="23" t="s">
        <v>273</v>
      </c>
    </row>
    <row r="49" spans="1:12" ht="31.5" x14ac:dyDescent="0.2">
      <c r="A49" s="28"/>
      <c r="B49" s="117"/>
      <c r="C49" s="117"/>
      <c r="D49" s="44" t="s">
        <v>60</v>
      </c>
      <c r="E49" s="26">
        <v>43</v>
      </c>
      <c r="F49" s="26">
        <v>34</v>
      </c>
      <c r="G49" s="26">
        <v>26</v>
      </c>
      <c r="H49" s="26">
        <v>17</v>
      </c>
      <c r="I49" s="26">
        <v>34</v>
      </c>
      <c r="J49" s="26">
        <v>26</v>
      </c>
      <c r="K49" s="27">
        <v>42</v>
      </c>
      <c r="L49" s="23" t="s">
        <v>281</v>
      </c>
    </row>
    <row r="50" spans="1:12" ht="31.5" x14ac:dyDescent="0.2">
      <c r="A50" s="28"/>
      <c r="B50" s="117"/>
      <c r="C50" s="117"/>
      <c r="D50" s="44" t="s">
        <v>61</v>
      </c>
      <c r="E50" s="26"/>
      <c r="F50" s="26"/>
      <c r="G50" s="26"/>
      <c r="H50" s="26"/>
      <c r="I50" s="26">
        <v>10</v>
      </c>
      <c r="J50" s="26">
        <v>10</v>
      </c>
      <c r="K50" s="27">
        <v>10</v>
      </c>
      <c r="L50" s="23" t="s">
        <v>37</v>
      </c>
    </row>
    <row r="51" spans="1:12" ht="37.5" customHeight="1" x14ac:dyDescent="0.2">
      <c r="A51" s="28"/>
      <c r="B51" s="117"/>
      <c r="C51" s="117"/>
      <c r="D51" s="38" t="s">
        <v>62</v>
      </c>
      <c r="E51" s="26">
        <v>2</v>
      </c>
      <c r="F51" s="26">
        <v>2</v>
      </c>
      <c r="G51" s="26">
        <v>2</v>
      </c>
      <c r="H51" s="26">
        <v>2</v>
      </c>
      <c r="I51" s="26">
        <v>2</v>
      </c>
      <c r="J51" s="26">
        <v>2</v>
      </c>
      <c r="K51" s="27">
        <v>2</v>
      </c>
      <c r="L51" s="23" t="s">
        <v>282</v>
      </c>
    </row>
    <row r="52" spans="1:12" ht="48.75" customHeight="1" x14ac:dyDescent="0.2">
      <c r="A52" s="28"/>
      <c r="B52" s="117"/>
      <c r="C52" s="117"/>
      <c r="D52" s="44" t="s">
        <v>63</v>
      </c>
      <c r="E52" s="26">
        <v>4</v>
      </c>
      <c r="F52" s="26">
        <v>4</v>
      </c>
      <c r="G52" s="26">
        <v>4</v>
      </c>
      <c r="H52" s="26">
        <v>4</v>
      </c>
      <c r="I52" s="26"/>
      <c r="J52" s="26"/>
      <c r="K52" s="27"/>
      <c r="L52" s="23" t="s">
        <v>283</v>
      </c>
    </row>
    <row r="53" spans="1:12" ht="47.25" x14ac:dyDescent="0.2">
      <c r="A53" s="28"/>
      <c r="B53" s="117"/>
      <c r="C53" s="117"/>
      <c r="D53" s="38" t="s">
        <v>64</v>
      </c>
      <c r="E53" s="26">
        <v>4</v>
      </c>
      <c r="F53" s="26">
        <v>4</v>
      </c>
      <c r="G53" s="26">
        <v>4</v>
      </c>
      <c r="H53" s="26">
        <v>4</v>
      </c>
      <c r="I53" s="26">
        <v>4</v>
      </c>
      <c r="J53" s="26">
        <v>4</v>
      </c>
      <c r="K53" s="27">
        <v>4</v>
      </c>
      <c r="L53" s="23" t="s">
        <v>37</v>
      </c>
    </row>
    <row r="54" spans="1:12" ht="15.75" x14ac:dyDescent="0.2">
      <c r="A54" s="28"/>
      <c r="B54" s="117"/>
      <c r="C54" s="117"/>
      <c r="D54" s="43" t="s">
        <v>65</v>
      </c>
      <c r="E54" s="31">
        <f>SUM(E45:E53)</f>
        <v>67.8</v>
      </c>
      <c r="F54" s="31">
        <f t="shared" ref="F54:K54" si="3">SUM(F45:F53)</f>
        <v>58.8</v>
      </c>
      <c r="G54" s="31">
        <f t="shared" si="3"/>
        <v>50.8</v>
      </c>
      <c r="H54" s="31">
        <f t="shared" si="3"/>
        <v>41.8</v>
      </c>
      <c r="I54" s="31">
        <f t="shared" si="3"/>
        <v>64.8</v>
      </c>
      <c r="J54" s="31">
        <f t="shared" si="3"/>
        <v>56.8</v>
      </c>
      <c r="K54" s="32">
        <f t="shared" si="3"/>
        <v>72.8</v>
      </c>
      <c r="L54" s="23"/>
    </row>
    <row r="55" spans="1:12" ht="31.5" x14ac:dyDescent="0.2">
      <c r="A55" s="28"/>
      <c r="B55" s="117"/>
      <c r="C55" s="117"/>
      <c r="D55" s="38" t="s">
        <v>66</v>
      </c>
      <c r="E55" s="26">
        <v>30</v>
      </c>
      <c r="F55" s="26">
        <v>30</v>
      </c>
      <c r="G55" s="26">
        <v>30</v>
      </c>
      <c r="H55" s="26">
        <v>30</v>
      </c>
      <c r="I55" s="26">
        <v>30</v>
      </c>
      <c r="J55" s="26">
        <v>30</v>
      </c>
      <c r="K55" s="27">
        <v>30</v>
      </c>
      <c r="L55" s="23" t="s">
        <v>37</v>
      </c>
    </row>
    <row r="56" spans="1:12" ht="31.5" x14ac:dyDescent="0.2">
      <c r="A56" s="28"/>
      <c r="B56" s="117"/>
      <c r="C56" s="117"/>
      <c r="D56" s="42" t="s">
        <v>41</v>
      </c>
      <c r="E56" s="39">
        <f>E54+E55</f>
        <v>97.8</v>
      </c>
      <c r="F56" s="39">
        <f t="shared" ref="F56:K56" si="4">F54+F55</f>
        <v>88.8</v>
      </c>
      <c r="G56" s="39">
        <f t="shared" si="4"/>
        <v>80.8</v>
      </c>
      <c r="H56" s="39">
        <f t="shared" si="4"/>
        <v>71.8</v>
      </c>
      <c r="I56" s="39">
        <f t="shared" si="4"/>
        <v>94.8</v>
      </c>
      <c r="J56" s="39">
        <f t="shared" si="4"/>
        <v>86.8</v>
      </c>
      <c r="K56" s="40">
        <f t="shared" si="4"/>
        <v>102.8</v>
      </c>
      <c r="L56" s="33"/>
    </row>
    <row r="57" spans="1:12" ht="6.75" customHeight="1" x14ac:dyDescent="0.2">
      <c r="A57" s="28"/>
      <c r="B57" s="34"/>
      <c r="C57" s="45"/>
      <c r="D57" s="46"/>
      <c r="E57" s="36"/>
      <c r="F57" s="36"/>
      <c r="G57" s="36"/>
      <c r="H57" s="36"/>
      <c r="I57" s="36"/>
      <c r="J57" s="36"/>
      <c r="K57" s="37"/>
      <c r="L57" s="33"/>
    </row>
    <row r="58" spans="1:12" ht="48.75" customHeight="1" x14ac:dyDescent="0.2">
      <c r="A58" s="28"/>
      <c r="B58" s="117" t="s">
        <v>254</v>
      </c>
      <c r="C58" s="117" t="s">
        <v>67</v>
      </c>
      <c r="D58" s="44" t="s">
        <v>68</v>
      </c>
      <c r="E58" s="26">
        <v>1.2</v>
      </c>
      <c r="F58" s="26">
        <v>1.2</v>
      </c>
      <c r="G58" s="26">
        <v>1.2</v>
      </c>
      <c r="H58" s="26">
        <v>1.2</v>
      </c>
      <c r="I58" s="26">
        <v>1.2</v>
      </c>
      <c r="J58" s="26">
        <v>1.2</v>
      </c>
      <c r="K58" s="27">
        <v>1.2</v>
      </c>
      <c r="L58" s="23" t="s">
        <v>278</v>
      </c>
    </row>
    <row r="59" spans="1:12" ht="16.5" customHeight="1" x14ac:dyDescent="0.2">
      <c r="A59" s="28"/>
      <c r="B59" s="117"/>
      <c r="C59" s="117"/>
      <c r="D59" s="38" t="s">
        <v>69</v>
      </c>
      <c r="E59" s="26">
        <v>7</v>
      </c>
      <c r="F59" s="26">
        <v>7</v>
      </c>
      <c r="G59" s="26">
        <v>7</v>
      </c>
      <c r="H59" s="26">
        <v>7</v>
      </c>
      <c r="I59" s="26">
        <v>7</v>
      </c>
      <c r="J59" s="26">
        <v>7</v>
      </c>
      <c r="K59" s="27">
        <v>7</v>
      </c>
      <c r="L59" s="33" t="s">
        <v>288</v>
      </c>
    </row>
    <row r="60" spans="1:12" ht="33" customHeight="1" x14ac:dyDescent="0.2">
      <c r="A60" s="28"/>
      <c r="B60" s="117"/>
      <c r="C60" s="117"/>
      <c r="D60" s="44" t="s">
        <v>70</v>
      </c>
      <c r="E60" s="26">
        <v>3</v>
      </c>
      <c r="F60" s="26">
        <v>3</v>
      </c>
      <c r="G60" s="26">
        <v>3</v>
      </c>
      <c r="H60" s="26">
        <v>3</v>
      </c>
      <c r="I60" s="26">
        <v>3</v>
      </c>
      <c r="J60" s="26">
        <v>3</v>
      </c>
      <c r="K60" s="27">
        <v>3</v>
      </c>
      <c r="L60" s="33" t="s">
        <v>289</v>
      </c>
    </row>
    <row r="61" spans="1:12" ht="31.5" customHeight="1" x14ac:dyDescent="0.2">
      <c r="A61" s="28"/>
      <c r="B61" s="117"/>
      <c r="C61" s="117"/>
      <c r="D61" s="44" t="s">
        <v>71</v>
      </c>
      <c r="E61" s="26">
        <v>3.6</v>
      </c>
      <c r="F61" s="26">
        <v>3.6</v>
      </c>
      <c r="G61" s="26">
        <v>3.6</v>
      </c>
      <c r="H61" s="26">
        <v>3.6</v>
      </c>
      <c r="I61" s="26">
        <v>3.6</v>
      </c>
      <c r="J61" s="26">
        <v>3.6</v>
      </c>
      <c r="K61" s="27">
        <v>3.6</v>
      </c>
      <c r="L61" s="33" t="s">
        <v>273</v>
      </c>
    </row>
    <row r="62" spans="1:12" ht="31.5" x14ac:dyDescent="0.2">
      <c r="A62" s="28"/>
      <c r="B62" s="117"/>
      <c r="C62" s="117"/>
      <c r="D62" s="44" t="s">
        <v>72</v>
      </c>
      <c r="E62" s="26">
        <v>56</v>
      </c>
      <c r="F62" s="26">
        <v>45</v>
      </c>
      <c r="G62" s="26">
        <v>34</v>
      </c>
      <c r="H62" s="26">
        <v>22</v>
      </c>
      <c r="I62" s="26">
        <v>45</v>
      </c>
      <c r="J62" s="26">
        <v>34</v>
      </c>
      <c r="K62" s="27">
        <v>43</v>
      </c>
      <c r="L62" s="33" t="s">
        <v>290</v>
      </c>
    </row>
    <row r="63" spans="1:12" ht="31.5" x14ac:dyDescent="0.2">
      <c r="A63" s="28"/>
      <c r="B63" s="117"/>
      <c r="C63" s="117"/>
      <c r="D63" s="44" t="s">
        <v>73</v>
      </c>
      <c r="E63" s="26"/>
      <c r="F63" s="26"/>
      <c r="G63" s="26"/>
      <c r="H63" s="26"/>
      <c r="I63" s="26">
        <v>10</v>
      </c>
      <c r="J63" s="26">
        <v>10</v>
      </c>
      <c r="K63" s="27">
        <v>10</v>
      </c>
      <c r="L63" s="33" t="s">
        <v>37</v>
      </c>
    </row>
    <row r="64" spans="1:12" ht="35.25" customHeight="1" x14ac:dyDescent="0.2">
      <c r="A64" s="28"/>
      <c r="B64" s="117"/>
      <c r="C64" s="117"/>
      <c r="D64" s="44" t="s">
        <v>74</v>
      </c>
      <c r="E64" s="26">
        <v>2</v>
      </c>
      <c r="F64" s="26">
        <v>2</v>
      </c>
      <c r="G64" s="26">
        <v>2</v>
      </c>
      <c r="H64" s="26">
        <v>2</v>
      </c>
      <c r="I64" s="26">
        <v>2</v>
      </c>
      <c r="J64" s="26">
        <v>2</v>
      </c>
      <c r="K64" s="27">
        <v>2</v>
      </c>
      <c r="L64" s="23" t="s">
        <v>282</v>
      </c>
    </row>
    <row r="65" spans="1:12" ht="47.25" x14ac:dyDescent="0.2">
      <c r="A65" s="28"/>
      <c r="B65" s="117"/>
      <c r="C65" s="117"/>
      <c r="D65" s="44" t="s">
        <v>75</v>
      </c>
      <c r="E65" s="26">
        <v>4</v>
      </c>
      <c r="F65" s="26">
        <v>4</v>
      </c>
      <c r="G65" s="26">
        <v>4</v>
      </c>
      <c r="H65" s="26">
        <v>4</v>
      </c>
      <c r="I65" s="26"/>
      <c r="J65" s="26"/>
      <c r="K65" s="27"/>
      <c r="L65" s="23" t="s">
        <v>283</v>
      </c>
    </row>
    <row r="66" spans="1:12" ht="47.25" x14ac:dyDescent="0.2">
      <c r="A66" s="28"/>
      <c r="B66" s="117"/>
      <c r="C66" s="117"/>
      <c r="D66" s="44" t="s">
        <v>76</v>
      </c>
      <c r="E66" s="26">
        <v>4</v>
      </c>
      <c r="F66" s="26">
        <v>4</v>
      </c>
      <c r="G66" s="26">
        <v>4</v>
      </c>
      <c r="H66" s="26">
        <v>4</v>
      </c>
      <c r="I66" s="26">
        <v>4</v>
      </c>
      <c r="J66" s="26">
        <v>4</v>
      </c>
      <c r="K66" s="27">
        <v>4</v>
      </c>
      <c r="L66" s="23" t="s">
        <v>37</v>
      </c>
    </row>
    <row r="67" spans="1:12" ht="15.75" x14ac:dyDescent="0.2">
      <c r="A67" s="28"/>
      <c r="B67" s="117"/>
      <c r="C67" s="117"/>
      <c r="D67" s="43" t="s">
        <v>65</v>
      </c>
      <c r="E67" s="39">
        <f>SUM(E58:E66)</f>
        <v>80.8</v>
      </c>
      <c r="F67" s="39">
        <f t="shared" ref="F67:K67" si="5">SUM(F58:F66)</f>
        <v>69.8</v>
      </c>
      <c r="G67" s="39">
        <f t="shared" si="5"/>
        <v>58.8</v>
      </c>
      <c r="H67" s="39">
        <f t="shared" si="5"/>
        <v>46.8</v>
      </c>
      <c r="I67" s="39">
        <f>SUM(I58:I66)</f>
        <v>75.8</v>
      </c>
      <c r="J67" s="39">
        <f t="shared" si="5"/>
        <v>64.8</v>
      </c>
      <c r="K67" s="40">
        <f t="shared" si="5"/>
        <v>73.8</v>
      </c>
      <c r="L67" s="33"/>
    </row>
    <row r="68" spans="1:12" ht="31.5" x14ac:dyDescent="0.2">
      <c r="A68" s="28"/>
      <c r="B68" s="117"/>
      <c r="C68" s="117"/>
      <c r="D68" s="44" t="s">
        <v>77</v>
      </c>
      <c r="E68" s="26">
        <v>30</v>
      </c>
      <c r="F68" s="26">
        <v>30</v>
      </c>
      <c r="G68" s="26">
        <v>30</v>
      </c>
      <c r="H68" s="26">
        <v>30</v>
      </c>
      <c r="I68" s="26">
        <v>30</v>
      </c>
      <c r="J68" s="26">
        <v>30</v>
      </c>
      <c r="K68" s="27">
        <v>30</v>
      </c>
      <c r="L68" s="33" t="s">
        <v>37</v>
      </c>
    </row>
    <row r="69" spans="1:12" ht="31.5" customHeight="1" x14ac:dyDescent="0.2">
      <c r="A69" s="28"/>
      <c r="B69" s="117"/>
      <c r="C69" s="117"/>
      <c r="D69" s="47" t="s">
        <v>78</v>
      </c>
      <c r="E69" s="39">
        <f>E67+E68</f>
        <v>110.8</v>
      </c>
      <c r="F69" s="39">
        <f t="shared" ref="F69:K69" si="6">F67+F68</f>
        <v>99.8</v>
      </c>
      <c r="G69" s="39">
        <f t="shared" si="6"/>
        <v>88.8</v>
      </c>
      <c r="H69" s="39">
        <f t="shared" si="6"/>
        <v>76.8</v>
      </c>
      <c r="I69" s="39">
        <f>I67+I68</f>
        <v>105.8</v>
      </c>
      <c r="J69" s="39">
        <f t="shared" si="6"/>
        <v>94.8</v>
      </c>
      <c r="K69" s="40">
        <f t="shared" si="6"/>
        <v>103.8</v>
      </c>
      <c r="L69" s="33"/>
    </row>
    <row r="70" spans="1:12" ht="6.75" customHeight="1" x14ac:dyDescent="0.2">
      <c r="A70" s="28"/>
      <c r="B70" s="34"/>
      <c r="C70" s="45"/>
      <c r="D70" s="46"/>
      <c r="E70" s="36"/>
      <c r="F70" s="36"/>
      <c r="G70" s="36"/>
      <c r="H70" s="36"/>
      <c r="I70" s="36"/>
      <c r="J70" s="36"/>
      <c r="K70" s="37"/>
      <c r="L70" s="33"/>
    </row>
    <row r="71" spans="1:12" ht="31.5" customHeight="1" x14ac:dyDescent="0.2">
      <c r="A71" s="28"/>
      <c r="B71" s="117" t="s">
        <v>255</v>
      </c>
      <c r="C71" s="118" t="s">
        <v>79</v>
      </c>
      <c r="D71" s="38" t="s">
        <v>80</v>
      </c>
      <c r="E71" s="80">
        <v>4.08</v>
      </c>
      <c r="F71" s="80">
        <v>4.08</v>
      </c>
      <c r="G71" s="80">
        <v>4.08</v>
      </c>
      <c r="H71" s="80">
        <v>4.08</v>
      </c>
      <c r="I71" s="80">
        <v>4.08</v>
      </c>
      <c r="J71" s="80">
        <v>4.08</v>
      </c>
      <c r="K71" s="81">
        <v>4.08</v>
      </c>
      <c r="L71" s="23" t="s">
        <v>273</v>
      </c>
    </row>
    <row r="72" spans="1:12" ht="52.5" customHeight="1" x14ac:dyDescent="0.2">
      <c r="A72" s="28"/>
      <c r="B72" s="117"/>
      <c r="C72" s="119"/>
      <c r="D72" s="38" t="s">
        <v>81</v>
      </c>
      <c r="E72" s="26">
        <v>1.2</v>
      </c>
      <c r="F72" s="26">
        <v>1.2</v>
      </c>
      <c r="G72" s="26">
        <v>1.2</v>
      </c>
      <c r="H72" s="26">
        <v>1.2</v>
      </c>
      <c r="I72" s="26">
        <v>1.2</v>
      </c>
      <c r="J72" s="26">
        <v>1.2</v>
      </c>
      <c r="K72" s="27">
        <v>1.2</v>
      </c>
      <c r="L72" s="23" t="s">
        <v>284</v>
      </c>
    </row>
    <row r="73" spans="1:12" ht="31.5" x14ac:dyDescent="0.2">
      <c r="A73" s="28"/>
      <c r="B73" s="117"/>
      <c r="C73" s="119"/>
      <c r="D73" s="38" t="s">
        <v>82</v>
      </c>
      <c r="E73" s="26">
        <v>3</v>
      </c>
      <c r="F73" s="26">
        <v>3</v>
      </c>
      <c r="G73" s="26">
        <v>3</v>
      </c>
      <c r="H73" s="26">
        <v>3</v>
      </c>
      <c r="I73" s="26">
        <v>3</v>
      </c>
      <c r="J73" s="26">
        <v>3</v>
      </c>
      <c r="K73" s="27">
        <v>3</v>
      </c>
      <c r="L73" s="23" t="s">
        <v>280</v>
      </c>
    </row>
    <row r="74" spans="1:12" ht="31.5" x14ac:dyDescent="0.2">
      <c r="A74" s="28"/>
      <c r="B74" s="117"/>
      <c r="C74" s="119"/>
      <c r="D74" s="38" t="s">
        <v>83</v>
      </c>
      <c r="E74" s="26">
        <v>3.6</v>
      </c>
      <c r="F74" s="26">
        <v>3.6</v>
      </c>
      <c r="G74" s="26">
        <v>3.6</v>
      </c>
      <c r="H74" s="26">
        <v>3.6</v>
      </c>
      <c r="I74" s="26">
        <v>3.6</v>
      </c>
      <c r="J74" s="26">
        <v>3.6</v>
      </c>
      <c r="K74" s="27">
        <v>3.6</v>
      </c>
      <c r="L74" s="23" t="s">
        <v>273</v>
      </c>
    </row>
    <row r="75" spans="1:12" ht="31.5" x14ac:dyDescent="0.2">
      <c r="A75" s="28"/>
      <c r="B75" s="117"/>
      <c r="C75" s="119"/>
      <c r="D75" s="38" t="s">
        <v>84</v>
      </c>
      <c r="E75" s="26">
        <v>43</v>
      </c>
      <c r="F75" s="26">
        <v>34</v>
      </c>
      <c r="G75" s="26">
        <v>26</v>
      </c>
      <c r="H75" s="26">
        <v>17</v>
      </c>
      <c r="I75" s="26">
        <v>34</v>
      </c>
      <c r="J75" s="26">
        <v>26</v>
      </c>
      <c r="K75" s="27">
        <v>42</v>
      </c>
      <c r="L75" s="23" t="s">
        <v>281</v>
      </c>
    </row>
    <row r="76" spans="1:12" ht="31.5" x14ac:dyDescent="0.2">
      <c r="A76" s="28"/>
      <c r="B76" s="117"/>
      <c r="C76" s="119"/>
      <c r="D76" s="38" t="s">
        <v>85</v>
      </c>
      <c r="E76" s="26"/>
      <c r="F76" s="26"/>
      <c r="G76" s="26"/>
      <c r="H76" s="26"/>
      <c r="I76" s="26">
        <v>10</v>
      </c>
      <c r="J76" s="26">
        <v>10</v>
      </c>
      <c r="K76" s="27">
        <v>10</v>
      </c>
      <c r="L76" s="23" t="s">
        <v>37</v>
      </c>
    </row>
    <row r="77" spans="1:12" ht="32.25" customHeight="1" x14ac:dyDescent="0.2">
      <c r="A77" s="28"/>
      <c r="B77" s="117"/>
      <c r="C77" s="119"/>
      <c r="D77" s="38" t="s">
        <v>86</v>
      </c>
      <c r="E77" s="26">
        <v>2</v>
      </c>
      <c r="F77" s="26">
        <v>2</v>
      </c>
      <c r="G77" s="26">
        <v>2</v>
      </c>
      <c r="H77" s="26">
        <v>2</v>
      </c>
      <c r="I77" s="26">
        <v>2</v>
      </c>
      <c r="J77" s="26">
        <v>2</v>
      </c>
      <c r="K77" s="27">
        <v>2</v>
      </c>
      <c r="L77" s="23" t="s">
        <v>282</v>
      </c>
    </row>
    <row r="78" spans="1:12" ht="31.5" customHeight="1" x14ac:dyDescent="0.2">
      <c r="A78" s="28"/>
      <c r="B78" s="117"/>
      <c r="C78" s="119"/>
      <c r="D78" s="38" t="s">
        <v>87</v>
      </c>
      <c r="E78" s="26">
        <v>4</v>
      </c>
      <c r="F78" s="26">
        <v>4</v>
      </c>
      <c r="G78" s="26">
        <v>4</v>
      </c>
      <c r="H78" s="26">
        <v>4</v>
      </c>
      <c r="I78" s="26"/>
      <c r="J78" s="26"/>
      <c r="K78" s="27"/>
      <c r="L78" s="23" t="s">
        <v>283</v>
      </c>
    </row>
    <row r="79" spans="1:12" ht="47.25" x14ac:dyDescent="0.2">
      <c r="A79" s="28"/>
      <c r="B79" s="117"/>
      <c r="C79" s="119"/>
      <c r="D79" s="38" t="s">
        <v>88</v>
      </c>
      <c r="E79" s="26">
        <v>4</v>
      </c>
      <c r="F79" s="26">
        <v>4</v>
      </c>
      <c r="G79" s="26">
        <v>4</v>
      </c>
      <c r="H79" s="26">
        <v>4</v>
      </c>
      <c r="I79" s="26">
        <v>4</v>
      </c>
      <c r="J79" s="26">
        <v>4</v>
      </c>
      <c r="K79" s="27">
        <v>4</v>
      </c>
      <c r="L79" s="23" t="s">
        <v>37</v>
      </c>
    </row>
    <row r="80" spans="1:12" ht="25.5" customHeight="1" x14ac:dyDescent="0.2">
      <c r="A80" s="28"/>
      <c r="B80" s="117"/>
      <c r="C80" s="119"/>
      <c r="D80" s="43" t="s">
        <v>65</v>
      </c>
      <c r="E80" s="31">
        <f>SUM(E71:E79)</f>
        <v>64.88</v>
      </c>
      <c r="F80" s="31">
        <f t="shared" ref="F80:K80" si="7">SUM(F71:F79)</f>
        <v>55.88</v>
      </c>
      <c r="G80" s="31">
        <f t="shared" si="7"/>
        <v>47.88</v>
      </c>
      <c r="H80" s="31">
        <f t="shared" si="7"/>
        <v>38.880000000000003</v>
      </c>
      <c r="I80" s="31">
        <f t="shared" si="7"/>
        <v>61.88</v>
      </c>
      <c r="J80" s="31">
        <f t="shared" si="7"/>
        <v>53.88</v>
      </c>
      <c r="K80" s="32">
        <f t="shared" si="7"/>
        <v>69.88</v>
      </c>
      <c r="L80" s="23"/>
    </row>
    <row r="81" spans="1:12" ht="31.5" x14ac:dyDescent="0.2">
      <c r="A81" s="28"/>
      <c r="B81" s="117"/>
      <c r="C81" s="119"/>
      <c r="D81" s="38" t="s">
        <v>89</v>
      </c>
      <c r="E81" s="26">
        <v>5</v>
      </c>
      <c r="F81" s="26">
        <v>5</v>
      </c>
      <c r="G81" s="26">
        <v>5</v>
      </c>
      <c r="H81" s="26">
        <v>5</v>
      </c>
      <c r="I81" s="26">
        <v>5</v>
      </c>
      <c r="J81" s="26">
        <v>5</v>
      </c>
      <c r="K81" s="27">
        <v>5</v>
      </c>
      <c r="L81" s="23" t="s">
        <v>37</v>
      </c>
    </row>
    <row r="82" spans="1:12" ht="34.5" customHeight="1" x14ac:dyDescent="0.2">
      <c r="A82" s="18"/>
      <c r="B82" s="117"/>
      <c r="C82" s="119"/>
      <c r="D82" s="42" t="s">
        <v>78</v>
      </c>
      <c r="E82" s="39">
        <f>E80+E81</f>
        <v>69.88</v>
      </c>
      <c r="F82" s="39">
        <f t="shared" ref="F82:K82" si="8">F80+F81</f>
        <v>60.88</v>
      </c>
      <c r="G82" s="39">
        <f t="shared" si="8"/>
        <v>52.88</v>
      </c>
      <c r="H82" s="39">
        <f t="shared" si="8"/>
        <v>43.88</v>
      </c>
      <c r="I82" s="39">
        <f t="shared" si="8"/>
        <v>66.88</v>
      </c>
      <c r="J82" s="39">
        <f t="shared" si="8"/>
        <v>58.88</v>
      </c>
      <c r="K82" s="40">
        <f t="shared" si="8"/>
        <v>74.88</v>
      </c>
      <c r="L82" s="23"/>
    </row>
    <row r="83" spans="1:12" ht="6" customHeight="1" x14ac:dyDescent="0.2">
      <c r="A83" s="18"/>
      <c r="B83" s="34"/>
      <c r="C83" s="74"/>
      <c r="D83" s="43"/>
      <c r="E83" s="36"/>
      <c r="F83" s="36"/>
      <c r="G83" s="36"/>
      <c r="H83" s="36"/>
      <c r="I83" s="36"/>
      <c r="J83" s="36"/>
      <c r="K83" s="37"/>
      <c r="L83" s="33"/>
    </row>
    <row r="84" spans="1:12" ht="33.75" customHeight="1" x14ac:dyDescent="0.2">
      <c r="A84" s="18"/>
      <c r="B84" s="117" t="s">
        <v>256</v>
      </c>
      <c r="C84" s="117" t="s">
        <v>90</v>
      </c>
      <c r="D84" s="44" t="s">
        <v>91</v>
      </c>
      <c r="E84" s="80">
        <v>4.08</v>
      </c>
      <c r="F84" s="80">
        <v>4.08</v>
      </c>
      <c r="G84" s="80">
        <v>4.08</v>
      </c>
      <c r="H84" s="80">
        <v>4.08</v>
      </c>
      <c r="I84" s="80">
        <v>4.08</v>
      </c>
      <c r="J84" s="80">
        <v>4.08</v>
      </c>
      <c r="K84" s="81">
        <v>4.08</v>
      </c>
      <c r="L84" s="23" t="s">
        <v>273</v>
      </c>
    </row>
    <row r="85" spans="1:12" ht="31.5" customHeight="1" x14ac:dyDescent="0.2">
      <c r="A85" s="18"/>
      <c r="B85" s="117"/>
      <c r="C85" s="117"/>
      <c r="D85" s="38" t="s">
        <v>92</v>
      </c>
      <c r="E85" s="26">
        <v>1.2</v>
      </c>
      <c r="F85" s="26">
        <v>1.2</v>
      </c>
      <c r="G85" s="26">
        <v>1.2</v>
      </c>
      <c r="H85" s="26">
        <v>1.2</v>
      </c>
      <c r="I85" s="26">
        <v>1.2</v>
      </c>
      <c r="J85" s="26">
        <v>1.2</v>
      </c>
      <c r="K85" s="27">
        <v>1.2</v>
      </c>
      <c r="L85" s="23" t="s">
        <v>284</v>
      </c>
    </row>
    <row r="86" spans="1:12" ht="15.75" customHeight="1" x14ac:dyDescent="0.2">
      <c r="A86" s="18"/>
      <c r="B86" s="117"/>
      <c r="C86" s="117"/>
      <c r="D86" s="44" t="s">
        <v>93</v>
      </c>
      <c r="E86" s="26">
        <v>3</v>
      </c>
      <c r="F86" s="26">
        <v>3</v>
      </c>
      <c r="G86" s="26">
        <v>3</v>
      </c>
      <c r="H86" s="26">
        <v>3</v>
      </c>
      <c r="I86" s="26">
        <v>3</v>
      </c>
      <c r="J86" s="26">
        <v>3</v>
      </c>
      <c r="K86" s="27">
        <v>3</v>
      </c>
      <c r="L86" s="23" t="s">
        <v>280</v>
      </c>
    </row>
    <row r="87" spans="1:12" ht="31.5" customHeight="1" x14ac:dyDescent="0.2">
      <c r="A87" s="18"/>
      <c r="B87" s="117"/>
      <c r="C87" s="117"/>
      <c r="D87" s="44" t="s">
        <v>94</v>
      </c>
      <c r="E87" s="26">
        <v>3.6</v>
      </c>
      <c r="F87" s="26">
        <v>3.6</v>
      </c>
      <c r="G87" s="26">
        <v>3.6</v>
      </c>
      <c r="H87" s="26">
        <v>3.6</v>
      </c>
      <c r="I87" s="26">
        <v>3.6</v>
      </c>
      <c r="J87" s="26">
        <v>3.6</v>
      </c>
      <c r="K87" s="27">
        <v>3.6</v>
      </c>
      <c r="L87" s="23" t="s">
        <v>273</v>
      </c>
    </row>
    <row r="88" spans="1:12" ht="31.5" customHeight="1" x14ac:dyDescent="0.2">
      <c r="A88" s="18"/>
      <c r="B88" s="117"/>
      <c r="C88" s="117"/>
      <c r="D88" s="44" t="s">
        <v>95</v>
      </c>
      <c r="E88" s="26">
        <v>56</v>
      </c>
      <c r="F88" s="26">
        <v>45</v>
      </c>
      <c r="G88" s="26">
        <v>34</v>
      </c>
      <c r="H88" s="26">
        <v>22</v>
      </c>
      <c r="I88" s="26">
        <v>45</v>
      </c>
      <c r="J88" s="26">
        <v>34</v>
      </c>
      <c r="K88" s="27">
        <v>43</v>
      </c>
      <c r="L88" s="23" t="s">
        <v>281</v>
      </c>
    </row>
    <row r="89" spans="1:12" ht="31.5" customHeight="1" x14ac:dyDescent="0.2">
      <c r="A89" s="18"/>
      <c r="B89" s="117"/>
      <c r="C89" s="117"/>
      <c r="D89" s="44" t="s">
        <v>96</v>
      </c>
      <c r="E89" s="26"/>
      <c r="F89" s="26"/>
      <c r="G89" s="26"/>
      <c r="H89" s="26"/>
      <c r="I89" s="26">
        <v>10</v>
      </c>
      <c r="J89" s="26">
        <v>10</v>
      </c>
      <c r="K89" s="27">
        <v>10</v>
      </c>
      <c r="L89" s="23" t="s">
        <v>37</v>
      </c>
    </row>
    <row r="90" spans="1:12" ht="31.5" customHeight="1" x14ac:dyDescent="0.2">
      <c r="A90" s="18"/>
      <c r="B90" s="117"/>
      <c r="C90" s="117"/>
      <c r="D90" s="44" t="s">
        <v>97</v>
      </c>
      <c r="E90" s="26">
        <v>2</v>
      </c>
      <c r="F90" s="26">
        <v>2</v>
      </c>
      <c r="G90" s="26">
        <v>2</v>
      </c>
      <c r="H90" s="26">
        <v>2</v>
      </c>
      <c r="I90" s="26">
        <v>2</v>
      </c>
      <c r="J90" s="26">
        <v>2</v>
      </c>
      <c r="K90" s="27">
        <v>2</v>
      </c>
      <c r="L90" s="23" t="s">
        <v>282</v>
      </c>
    </row>
    <row r="91" spans="1:12" ht="48" customHeight="1" x14ac:dyDescent="0.2">
      <c r="A91" s="18"/>
      <c r="B91" s="117"/>
      <c r="C91" s="117"/>
      <c r="D91" s="44" t="s">
        <v>98</v>
      </c>
      <c r="E91" s="26">
        <v>4</v>
      </c>
      <c r="F91" s="26">
        <v>4</v>
      </c>
      <c r="G91" s="26">
        <v>4</v>
      </c>
      <c r="H91" s="26">
        <v>4</v>
      </c>
      <c r="I91" s="26"/>
      <c r="J91" s="26"/>
      <c r="K91" s="27"/>
      <c r="L91" s="23" t="s">
        <v>40</v>
      </c>
    </row>
    <row r="92" spans="1:12" ht="31.5" customHeight="1" x14ac:dyDescent="0.2">
      <c r="A92" s="18"/>
      <c r="B92" s="117"/>
      <c r="C92" s="117"/>
      <c r="D92" s="44" t="s">
        <v>99</v>
      </c>
      <c r="E92" s="26">
        <v>4</v>
      </c>
      <c r="F92" s="26">
        <v>4</v>
      </c>
      <c r="G92" s="26">
        <v>4</v>
      </c>
      <c r="H92" s="26">
        <v>4</v>
      </c>
      <c r="I92" s="26">
        <v>4</v>
      </c>
      <c r="J92" s="26">
        <v>4</v>
      </c>
      <c r="K92" s="27">
        <v>4</v>
      </c>
      <c r="L92" s="23" t="s">
        <v>37</v>
      </c>
    </row>
    <row r="93" spans="1:12" ht="15.75" x14ac:dyDescent="0.2">
      <c r="A93" s="18"/>
      <c r="B93" s="117"/>
      <c r="C93" s="117"/>
      <c r="D93" s="46" t="s">
        <v>65</v>
      </c>
      <c r="E93" s="39">
        <f t="shared" ref="E93:K93" si="9">SUM(E84:E92)</f>
        <v>77.88</v>
      </c>
      <c r="F93" s="39">
        <f t="shared" si="9"/>
        <v>66.88</v>
      </c>
      <c r="G93" s="39">
        <f t="shared" si="9"/>
        <v>55.88</v>
      </c>
      <c r="H93" s="39">
        <f t="shared" si="9"/>
        <v>43.88</v>
      </c>
      <c r="I93" s="39">
        <f t="shared" si="9"/>
        <v>72.88</v>
      </c>
      <c r="J93" s="39">
        <f t="shared" si="9"/>
        <v>61.88</v>
      </c>
      <c r="K93" s="40">
        <f t="shared" si="9"/>
        <v>70.88</v>
      </c>
      <c r="L93" s="23"/>
    </row>
    <row r="94" spans="1:12" ht="31.5" x14ac:dyDescent="0.2">
      <c r="A94" s="28"/>
      <c r="B94" s="117"/>
      <c r="C94" s="117"/>
      <c r="D94" s="38" t="s">
        <v>100</v>
      </c>
      <c r="E94" s="26">
        <v>5</v>
      </c>
      <c r="F94" s="26">
        <v>5</v>
      </c>
      <c r="G94" s="26">
        <v>5</v>
      </c>
      <c r="H94" s="26">
        <v>5</v>
      </c>
      <c r="I94" s="26">
        <v>5</v>
      </c>
      <c r="J94" s="26">
        <v>5</v>
      </c>
      <c r="K94" s="27">
        <v>5</v>
      </c>
      <c r="L94" s="23" t="s">
        <v>37</v>
      </c>
    </row>
    <row r="95" spans="1:12" ht="31.5" x14ac:dyDescent="0.2">
      <c r="A95" s="18"/>
      <c r="B95" s="117"/>
      <c r="C95" s="117"/>
      <c r="D95" s="47" t="s">
        <v>78</v>
      </c>
      <c r="E95" s="39">
        <f>E93+E94</f>
        <v>82.88</v>
      </c>
      <c r="F95" s="39">
        <f t="shared" ref="F95:K95" si="10">F93+F94</f>
        <v>71.88</v>
      </c>
      <c r="G95" s="39">
        <f t="shared" si="10"/>
        <v>60.88</v>
      </c>
      <c r="H95" s="39">
        <f t="shared" si="10"/>
        <v>48.88</v>
      </c>
      <c r="I95" s="39">
        <f t="shared" si="10"/>
        <v>77.88</v>
      </c>
      <c r="J95" s="39">
        <f t="shared" si="10"/>
        <v>66.88</v>
      </c>
      <c r="K95" s="40">
        <f t="shared" si="10"/>
        <v>75.88</v>
      </c>
      <c r="L95" s="23"/>
    </row>
    <row r="96" spans="1:12" ht="6" customHeight="1" x14ac:dyDescent="0.2">
      <c r="A96" s="18"/>
      <c r="B96" s="34"/>
      <c r="C96" s="48"/>
      <c r="D96" s="47"/>
      <c r="E96" s="39"/>
      <c r="F96" s="39"/>
      <c r="G96" s="39"/>
      <c r="H96" s="39"/>
      <c r="I96" s="39"/>
      <c r="J96" s="39"/>
      <c r="K96" s="40"/>
      <c r="L96" s="23"/>
    </row>
    <row r="97" spans="1:12" ht="53.25" customHeight="1" x14ac:dyDescent="0.2">
      <c r="A97" s="18"/>
      <c r="B97" s="117" t="s">
        <v>257</v>
      </c>
      <c r="C97" s="118" t="s">
        <v>101</v>
      </c>
      <c r="D97" s="44" t="s">
        <v>102</v>
      </c>
      <c r="E97" s="26">
        <v>1.2</v>
      </c>
      <c r="F97" s="26">
        <v>1.2</v>
      </c>
      <c r="G97" s="26">
        <v>1.2</v>
      </c>
      <c r="H97" s="26">
        <v>1.2</v>
      </c>
      <c r="I97" s="26">
        <v>1.2</v>
      </c>
      <c r="J97" s="26">
        <v>1.2</v>
      </c>
      <c r="K97" s="27">
        <v>1.2</v>
      </c>
      <c r="L97" s="23" t="s">
        <v>284</v>
      </c>
    </row>
    <row r="98" spans="1:12" ht="15.75" x14ac:dyDescent="0.2">
      <c r="A98" s="18"/>
      <c r="B98" s="117"/>
      <c r="C98" s="119"/>
      <c r="D98" s="44" t="s">
        <v>103</v>
      </c>
      <c r="E98" s="26">
        <v>7</v>
      </c>
      <c r="F98" s="26">
        <v>7</v>
      </c>
      <c r="G98" s="26">
        <v>7</v>
      </c>
      <c r="H98" s="26">
        <v>7</v>
      </c>
      <c r="I98" s="26">
        <v>7</v>
      </c>
      <c r="J98" s="26">
        <v>7</v>
      </c>
      <c r="K98" s="27">
        <v>7</v>
      </c>
      <c r="L98" s="23" t="s">
        <v>279</v>
      </c>
    </row>
    <row r="99" spans="1:12" ht="31.5" x14ac:dyDescent="0.2">
      <c r="A99" s="18"/>
      <c r="B99" s="117"/>
      <c r="C99" s="119"/>
      <c r="D99" s="44" t="s">
        <v>104</v>
      </c>
      <c r="E99" s="26">
        <v>3</v>
      </c>
      <c r="F99" s="26">
        <v>3</v>
      </c>
      <c r="G99" s="26">
        <v>3</v>
      </c>
      <c r="H99" s="26">
        <v>3</v>
      </c>
      <c r="I99" s="26">
        <v>3</v>
      </c>
      <c r="J99" s="26">
        <v>3</v>
      </c>
      <c r="K99" s="27">
        <v>3</v>
      </c>
      <c r="L99" s="23" t="s">
        <v>280</v>
      </c>
    </row>
    <row r="100" spans="1:12" ht="31.5" x14ac:dyDescent="0.2">
      <c r="A100" s="18"/>
      <c r="B100" s="117"/>
      <c r="C100" s="119"/>
      <c r="D100" s="44" t="s">
        <v>105</v>
      </c>
      <c r="E100" s="26">
        <v>3.6</v>
      </c>
      <c r="F100" s="26">
        <v>3.6</v>
      </c>
      <c r="G100" s="26">
        <v>3.6</v>
      </c>
      <c r="H100" s="26">
        <v>3.6</v>
      </c>
      <c r="I100" s="26">
        <v>3.6</v>
      </c>
      <c r="J100" s="26">
        <v>3.6</v>
      </c>
      <c r="K100" s="26">
        <v>3.6</v>
      </c>
      <c r="L100" s="23" t="s">
        <v>273</v>
      </c>
    </row>
    <row r="101" spans="1:12" ht="31.5" x14ac:dyDescent="0.2">
      <c r="A101" s="18"/>
      <c r="B101" s="117"/>
      <c r="C101" s="119"/>
      <c r="D101" s="44" t="s">
        <v>106</v>
      </c>
      <c r="E101" s="26">
        <v>43</v>
      </c>
      <c r="F101" s="26">
        <v>34</v>
      </c>
      <c r="G101" s="26">
        <v>26</v>
      </c>
      <c r="H101" s="26">
        <v>17</v>
      </c>
      <c r="I101" s="26">
        <v>34</v>
      </c>
      <c r="J101" s="26">
        <v>26</v>
      </c>
      <c r="K101" s="27">
        <v>42</v>
      </c>
      <c r="L101" s="23" t="s">
        <v>281</v>
      </c>
    </row>
    <row r="102" spans="1:12" ht="31.5" x14ac:dyDescent="0.2">
      <c r="A102" s="18"/>
      <c r="B102" s="117"/>
      <c r="C102" s="119"/>
      <c r="D102" s="44" t="s">
        <v>107</v>
      </c>
      <c r="E102" s="26"/>
      <c r="F102" s="26"/>
      <c r="G102" s="26"/>
      <c r="H102" s="26"/>
      <c r="I102" s="26">
        <v>10</v>
      </c>
      <c r="J102" s="26">
        <v>10</v>
      </c>
      <c r="K102" s="27">
        <v>10</v>
      </c>
      <c r="L102" s="23" t="s">
        <v>37</v>
      </c>
    </row>
    <row r="103" spans="1:12" ht="33.75" customHeight="1" x14ac:dyDescent="0.2">
      <c r="A103" s="18"/>
      <c r="B103" s="117"/>
      <c r="C103" s="119"/>
      <c r="D103" s="44" t="s">
        <v>108</v>
      </c>
      <c r="E103" s="26">
        <v>2</v>
      </c>
      <c r="F103" s="26">
        <v>2</v>
      </c>
      <c r="G103" s="26">
        <v>2</v>
      </c>
      <c r="H103" s="26">
        <v>2</v>
      </c>
      <c r="I103" s="26">
        <v>2</v>
      </c>
      <c r="J103" s="26">
        <v>2</v>
      </c>
      <c r="K103" s="27">
        <v>2</v>
      </c>
      <c r="L103" s="23" t="s">
        <v>282</v>
      </c>
    </row>
    <row r="104" spans="1:12" ht="47.25" x14ac:dyDescent="0.2">
      <c r="A104" s="18"/>
      <c r="B104" s="117"/>
      <c r="C104" s="119"/>
      <c r="D104" s="44" t="s">
        <v>109</v>
      </c>
      <c r="E104" s="26">
        <v>4</v>
      </c>
      <c r="F104" s="26">
        <v>4</v>
      </c>
      <c r="G104" s="26">
        <v>4</v>
      </c>
      <c r="H104" s="26">
        <v>4</v>
      </c>
      <c r="I104" s="26"/>
      <c r="J104" s="26"/>
      <c r="K104" s="27"/>
      <c r="L104" s="23" t="s">
        <v>283</v>
      </c>
    </row>
    <row r="105" spans="1:12" ht="47.25" x14ac:dyDescent="0.2">
      <c r="A105" s="18"/>
      <c r="B105" s="117"/>
      <c r="C105" s="119"/>
      <c r="D105" s="44" t="s">
        <v>110</v>
      </c>
      <c r="E105" s="26">
        <v>7</v>
      </c>
      <c r="F105" s="26">
        <v>7</v>
      </c>
      <c r="G105" s="26">
        <v>7</v>
      </c>
      <c r="H105" s="26">
        <v>7</v>
      </c>
      <c r="I105" s="26">
        <v>7</v>
      </c>
      <c r="J105" s="26">
        <v>7</v>
      </c>
      <c r="K105" s="26">
        <v>7</v>
      </c>
      <c r="L105" s="23" t="s">
        <v>37</v>
      </c>
    </row>
    <row r="106" spans="1:12" ht="15.75" x14ac:dyDescent="0.2">
      <c r="A106" s="18"/>
      <c r="B106" s="117"/>
      <c r="C106" s="119"/>
      <c r="D106" s="46" t="s">
        <v>65</v>
      </c>
      <c r="E106" s="39">
        <f>E97+E98+E99+E100+E101+E102+E103+E104+E105</f>
        <v>70.8</v>
      </c>
      <c r="F106" s="39">
        <f t="shared" ref="F106:K106" si="11">F97+F98+F99+F100+F101+F102+F103+F104+F105</f>
        <v>61.8</v>
      </c>
      <c r="G106" s="39">
        <f t="shared" si="11"/>
        <v>53.8</v>
      </c>
      <c r="H106" s="39">
        <f t="shared" si="11"/>
        <v>44.8</v>
      </c>
      <c r="I106" s="39">
        <f t="shared" si="11"/>
        <v>67.8</v>
      </c>
      <c r="J106" s="39">
        <f t="shared" si="11"/>
        <v>59.8</v>
      </c>
      <c r="K106" s="39">
        <f t="shared" si="11"/>
        <v>75.8</v>
      </c>
      <c r="L106" s="23"/>
    </row>
    <row r="107" spans="1:12" ht="31.5" x14ac:dyDescent="0.2">
      <c r="A107" s="18"/>
      <c r="B107" s="117"/>
      <c r="C107" s="119"/>
      <c r="D107" s="44" t="s">
        <v>111</v>
      </c>
      <c r="E107" s="26">
        <v>27</v>
      </c>
      <c r="F107" s="26">
        <v>27</v>
      </c>
      <c r="G107" s="26">
        <v>27</v>
      </c>
      <c r="H107" s="26">
        <v>27</v>
      </c>
      <c r="I107" s="26">
        <v>27</v>
      </c>
      <c r="J107" s="26">
        <v>27</v>
      </c>
      <c r="K107" s="26">
        <v>27</v>
      </c>
      <c r="L107" s="23" t="s">
        <v>37</v>
      </c>
    </row>
    <row r="108" spans="1:12" ht="31.5" x14ac:dyDescent="0.2">
      <c r="A108" s="18"/>
      <c r="B108" s="117"/>
      <c r="C108" s="120"/>
      <c r="D108" s="47" t="s">
        <v>41</v>
      </c>
      <c r="E108" s="39">
        <f t="shared" ref="E108:K108" si="12">E106+E107</f>
        <v>97.8</v>
      </c>
      <c r="F108" s="39">
        <f t="shared" si="12"/>
        <v>88.8</v>
      </c>
      <c r="G108" s="39">
        <f t="shared" si="12"/>
        <v>80.8</v>
      </c>
      <c r="H108" s="39">
        <f t="shared" si="12"/>
        <v>71.8</v>
      </c>
      <c r="I108" s="39">
        <f t="shared" si="12"/>
        <v>94.8</v>
      </c>
      <c r="J108" s="39">
        <f t="shared" si="12"/>
        <v>86.8</v>
      </c>
      <c r="K108" s="39">
        <f t="shared" si="12"/>
        <v>102.8</v>
      </c>
      <c r="L108" s="23"/>
    </row>
    <row r="109" spans="1:12" ht="6" customHeight="1" x14ac:dyDescent="0.2">
      <c r="A109" s="18"/>
      <c r="B109" s="34"/>
      <c r="C109" s="48"/>
      <c r="D109" s="47"/>
      <c r="E109" s="39"/>
      <c r="F109" s="39"/>
      <c r="G109" s="39"/>
      <c r="H109" s="39"/>
      <c r="I109" s="39"/>
      <c r="J109" s="39"/>
      <c r="K109" s="40"/>
      <c r="L109" s="23"/>
    </row>
    <row r="110" spans="1:12" ht="57" customHeight="1" x14ac:dyDescent="0.2">
      <c r="A110" s="18"/>
      <c r="B110" s="117" t="s">
        <v>258</v>
      </c>
      <c r="C110" s="118" t="s">
        <v>112</v>
      </c>
      <c r="D110" s="44" t="s">
        <v>113</v>
      </c>
      <c r="E110" s="26">
        <v>1.2</v>
      </c>
      <c r="F110" s="26">
        <v>1.2</v>
      </c>
      <c r="G110" s="26">
        <v>1.2</v>
      </c>
      <c r="H110" s="26">
        <v>1.2</v>
      </c>
      <c r="I110" s="26">
        <v>1.2</v>
      </c>
      <c r="J110" s="26">
        <v>1.2</v>
      </c>
      <c r="K110" s="27">
        <v>1.2</v>
      </c>
      <c r="L110" s="23" t="s">
        <v>278</v>
      </c>
    </row>
    <row r="111" spans="1:12" ht="15.75" x14ac:dyDescent="0.2">
      <c r="A111" s="18"/>
      <c r="B111" s="117"/>
      <c r="C111" s="119"/>
      <c r="D111" s="44" t="s">
        <v>114</v>
      </c>
      <c r="E111" s="26">
        <v>7</v>
      </c>
      <c r="F111" s="26">
        <v>7</v>
      </c>
      <c r="G111" s="26">
        <v>7</v>
      </c>
      <c r="H111" s="26">
        <v>7</v>
      </c>
      <c r="I111" s="26">
        <v>7</v>
      </c>
      <c r="J111" s="26">
        <v>7</v>
      </c>
      <c r="K111" s="27">
        <v>7</v>
      </c>
      <c r="L111" s="23" t="s">
        <v>279</v>
      </c>
    </row>
    <row r="112" spans="1:12" ht="31.5" x14ac:dyDescent="0.2">
      <c r="A112" s="18"/>
      <c r="B112" s="117"/>
      <c r="C112" s="119"/>
      <c r="D112" s="44" t="s">
        <v>115</v>
      </c>
      <c r="E112" s="26">
        <v>3</v>
      </c>
      <c r="F112" s="26">
        <v>3</v>
      </c>
      <c r="G112" s="26">
        <v>3</v>
      </c>
      <c r="H112" s="26">
        <v>3</v>
      </c>
      <c r="I112" s="26">
        <v>3</v>
      </c>
      <c r="J112" s="26">
        <v>3</v>
      </c>
      <c r="K112" s="27">
        <v>3</v>
      </c>
      <c r="L112" s="23" t="s">
        <v>289</v>
      </c>
    </row>
    <row r="113" spans="1:12" ht="31.5" x14ac:dyDescent="0.2">
      <c r="A113" s="18"/>
      <c r="B113" s="117"/>
      <c r="C113" s="119"/>
      <c r="D113" s="44" t="s">
        <v>116</v>
      </c>
      <c r="E113" s="26">
        <v>3.6</v>
      </c>
      <c r="F113" s="26">
        <v>3.6</v>
      </c>
      <c r="G113" s="26">
        <v>3.6</v>
      </c>
      <c r="H113" s="26">
        <v>3.6</v>
      </c>
      <c r="I113" s="26">
        <v>3.6</v>
      </c>
      <c r="J113" s="26">
        <v>3.6</v>
      </c>
      <c r="K113" s="27">
        <v>3.6</v>
      </c>
      <c r="L113" s="23" t="s">
        <v>273</v>
      </c>
    </row>
    <row r="114" spans="1:12" ht="31.5" x14ac:dyDescent="0.2">
      <c r="A114" s="18"/>
      <c r="B114" s="117"/>
      <c r="C114" s="119"/>
      <c r="D114" s="44" t="s">
        <v>117</v>
      </c>
      <c r="E114" s="26">
        <v>56</v>
      </c>
      <c r="F114" s="26">
        <v>45</v>
      </c>
      <c r="G114" s="26">
        <v>34</v>
      </c>
      <c r="H114" s="26">
        <v>22</v>
      </c>
      <c r="I114" s="26">
        <v>45</v>
      </c>
      <c r="J114" s="26">
        <v>34</v>
      </c>
      <c r="K114" s="27">
        <v>43</v>
      </c>
      <c r="L114" s="23" t="s">
        <v>290</v>
      </c>
    </row>
    <row r="115" spans="1:12" ht="31.5" x14ac:dyDescent="0.2">
      <c r="A115" s="18"/>
      <c r="B115" s="117"/>
      <c r="C115" s="119"/>
      <c r="D115" s="44" t="s">
        <v>118</v>
      </c>
      <c r="E115" s="26"/>
      <c r="F115" s="26"/>
      <c r="G115" s="26"/>
      <c r="H115" s="26"/>
      <c r="I115" s="26">
        <v>10</v>
      </c>
      <c r="J115" s="26">
        <v>10</v>
      </c>
      <c r="K115" s="27">
        <v>10</v>
      </c>
      <c r="L115" s="23" t="s">
        <v>37</v>
      </c>
    </row>
    <row r="116" spans="1:12" ht="36" customHeight="1" x14ac:dyDescent="0.2">
      <c r="A116" s="18"/>
      <c r="B116" s="117"/>
      <c r="C116" s="119"/>
      <c r="D116" s="44" t="s">
        <v>119</v>
      </c>
      <c r="E116" s="26">
        <v>2</v>
      </c>
      <c r="F116" s="26">
        <v>2</v>
      </c>
      <c r="G116" s="26">
        <v>2</v>
      </c>
      <c r="H116" s="26">
        <v>2</v>
      </c>
      <c r="I116" s="26">
        <v>2</v>
      </c>
      <c r="J116" s="26">
        <v>2</v>
      </c>
      <c r="K116" s="27">
        <v>2</v>
      </c>
      <c r="L116" s="23" t="s">
        <v>282</v>
      </c>
    </row>
    <row r="117" spans="1:12" ht="47.25" x14ac:dyDescent="0.2">
      <c r="A117" s="18"/>
      <c r="B117" s="117"/>
      <c r="C117" s="119"/>
      <c r="D117" s="44" t="s">
        <v>120</v>
      </c>
      <c r="E117" s="26">
        <v>4</v>
      </c>
      <c r="F117" s="26">
        <v>4</v>
      </c>
      <c r="G117" s="26">
        <v>4</v>
      </c>
      <c r="H117" s="26">
        <v>4</v>
      </c>
      <c r="I117" s="26"/>
      <c r="J117" s="26"/>
      <c r="K117" s="27"/>
      <c r="L117" s="23" t="s">
        <v>283</v>
      </c>
    </row>
    <row r="118" spans="1:12" ht="47.25" x14ac:dyDescent="0.2">
      <c r="A118" s="18"/>
      <c r="B118" s="117"/>
      <c r="C118" s="119"/>
      <c r="D118" s="44" t="s">
        <v>121</v>
      </c>
      <c r="E118" s="26">
        <v>7</v>
      </c>
      <c r="F118" s="26">
        <v>7</v>
      </c>
      <c r="G118" s="26">
        <v>7</v>
      </c>
      <c r="H118" s="26">
        <v>7</v>
      </c>
      <c r="I118" s="26">
        <v>7</v>
      </c>
      <c r="J118" s="26">
        <v>7</v>
      </c>
      <c r="K118" s="26">
        <v>7</v>
      </c>
      <c r="L118" s="23" t="s">
        <v>37</v>
      </c>
    </row>
    <row r="119" spans="1:12" ht="15.75" x14ac:dyDescent="0.2">
      <c r="A119" s="18"/>
      <c r="B119" s="117"/>
      <c r="C119" s="119"/>
      <c r="D119" s="46" t="s">
        <v>65</v>
      </c>
      <c r="E119" s="39">
        <f t="shared" ref="E119:K119" si="13">SUM(E110:E118)</f>
        <v>83.8</v>
      </c>
      <c r="F119" s="39">
        <f t="shared" si="13"/>
        <v>72.8</v>
      </c>
      <c r="G119" s="39">
        <f t="shared" si="13"/>
        <v>61.8</v>
      </c>
      <c r="H119" s="39">
        <f t="shared" si="13"/>
        <v>49.8</v>
      </c>
      <c r="I119" s="39">
        <f t="shared" si="13"/>
        <v>78.8</v>
      </c>
      <c r="J119" s="39">
        <f t="shared" si="13"/>
        <v>67.8</v>
      </c>
      <c r="K119" s="40">
        <f t="shared" si="13"/>
        <v>76.8</v>
      </c>
      <c r="L119" s="23"/>
    </row>
    <row r="120" spans="1:12" ht="31.5" x14ac:dyDescent="0.2">
      <c r="A120" s="18"/>
      <c r="B120" s="117"/>
      <c r="C120" s="119"/>
      <c r="D120" s="44" t="s">
        <v>122</v>
      </c>
      <c r="E120" s="26">
        <v>27</v>
      </c>
      <c r="F120" s="26">
        <v>27</v>
      </c>
      <c r="G120" s="26">
        <v>27</v>
      </c>
      <c r="H120" s="26">
        <v>27</v>
      </c>
      <c r="I120" s="26">
        <v>27</v>
      </c>
      <c r="J120" s="26">
        <v>27</v>
      </c>
      <c r="K120" s="26">
        <v>27</v>
      </c>
      <c r="L120" s="23" t="s">
        <v>37</v>
      </c>
    </row>
    <row r="121" spans="1:12" ht="31.5" x14ac:dyDescent="0.2">
      <c r="A121" s="18"/>
      <c r="B121" s="117"/>
      <c r="C121" s="120"/>
      <c r="D121" s="47" t="s">
        <v>78</v>
      </c>
      <c r="E121" s="39">
        <f t="shared" ref="E121:K121" si="14">E119+E120</f>
        <v>110.8</v>
      </c>
      <c r="F121" s="39">
        <f t="shared" si="14"/>
        <v>99.8</v>
      </c>
      <c r="G121" s="39">
        <f t="shared" si="14"/>
        <v>88.8</v>
      </c>
      <c r="H121" s="39">
        <f t="shared" si="14"/>
        <v>76.8</v>
      </c>
      <c r="I121" s="39">
        <f t="shared" si="14"/>
        <v>105.8</v>
      </c>
      <c r="J121" s="39">
        <f t="shared" si="14"/>
        <v>94.8</v>
      </c>
      <c r="K121" s="40">
        <f t="shared" si="14"/>
        <v>103.8</v>
      </c>
      <c r="L121" s="23"/>
    </row>
    <row r="122" spans="1:12" ht="6" customHeight="1" x14ac:dyDescent="0.2">
      <c r="A122" s="18"/>
      <c r="B122" s="34"/>
      <c r="C122" s="48"/>
      <c r="D122" s="47"/>
      <c r="E122" s="39"/>
      <c r="F122" s="39"/>
      <c r="G122" s="39"/>
      <c r="H122" s="39"/>
      <c r="I122" s="39"/>
      <c r="J122" s="39"/>
      <c r="K122" s="40"/>
      <c r="L122" s="23"/>
    </row>
    <row r="123" spans="1:12" ht="19.5" customHeight="1" x14ac:dyDescent="0.2">
      <c r="A123" s="18"/>
      <c r="B123" s="117" t="s">
        <v>259</v>
      </c>
      <c r="C123" s="117" t="s">
        <v>123</v>
      </c>
      <c r="D123" s="44" t="s">
        <v>124</v>
      </c>
      <c r="E123" s="26">
        <v>25</v>
      </c>
      <c r="F123" s="26">
        <v>20</v>
      </c>
      <c r="G123" s="26">
        <v>15</v>
      </c>
      <c r="H123" s="26">
        <v>10</v>
      </c>
      <c r="I123" s="26">
        <v>20</v>
      </c>
      <c r="J123" s="26">
        <v>15</v>
      </c>
      <c r="K123" s="27">
        <v>28</v>
      </c>
      <c r="L123" s="23" t="s">
        <v>272</v>
      </c>
    </row>
    <row r="124" spans="1:12" ht="31.5" customHeight="1" x14ac:dyDescent="0.2">
      <c r="A124" s="18"/>
      <c r="B124" s="117"/>
      <c r="C124" s="117"/>
      <c r="D124" s="38" t="s">
        <v>125</v>
      </c>
      <c r="E124" s="26">
        <v>1</v>
      </c>
      <c r="F124" s="26">
        <v>1</v>
      </c>
      <c r="G124" s="26">
        <v>1</v>
      </c>
      <c r="H124" s="26">
        <v>1</v>
      </c>
      <c r="I124" s="26">
        <v>1</v>
      </c>
      <c r="J124" s="26">
        <v>1</v>
      </c>
      <c r="K124" s="27">
        <v>1</v>
      </c>
      <c r="L124" s="23" t="s">
        <v>291</v>
      </c>
    </row>
    <row r="125" spans="1:12" ht="31.5" customHeight="1" x14ac:dyDescent="0.2">
      <c r="A125" s="18"/>
      <c r="B125" s="117"/>
      <c r="C125" s="117"/>
      <c r="D125" s="38" t="s">
        <v>126</v>
      </c>
      <c r="E125" s="26"/>
      <c r="F125" s="26"/>
      <c r="G125" s="26"/>
      <c r="H125" s="26"/>
      <c r="I125" s="26">
        <v>10</v>
      </c>
      <c r="J125" s="26">
        <v>10</v>
      </c>
      <c r="K125" s="27">
        <v>10</v>
      </c>
      <c r="L125" s="23" t="s">
        <v>37</v>
      </c>
    </row>
    <row r="126" spans="1:12" ht="15.75" customHeight="1" x14ac:dyDescent="0.2">
      <c r="A126" s="18"/>
      <c r="B126" s="117"/>
      <c r="C126" s="117"/>
      <c r="D126" s="44" t="s">
        <v>127</v>
      </c>
      <c r="E126" s="80">
        <v>14.64</v>
      </c>
      <c r="F126" s="80">
        <v>14.64</v>
      </c>
      <c r="G126" s="80">
        <v>14.64</v>
      </c>
      <c r="H126" s="80">
        <v>14.64</v>
      </c>
      <c r="I126" s="80">
        <v>14.64</v>
      </c>
      <c r="J126" s="80">
        <v>14.64</v>
      </c>
      <c r="K126" s="81">
        <v>14.64</v>
      </c>
      <c r="L126" s="23" t="s">
        <v>273</v>
      </c>
    </row>
    <row r="127" spans="1:12" ht="21" customHeight="1" x14ac:dyDescent="0.2">
      <c r="A127" s="18"/>
      <c r="B127" s="117"/>
      <c r="C127" s="117"/>
      <c r="D127" s="44" t="s">
        <v>128</v>
      </c>
      <c r="E127" s="26">
        <v>7</v>
      </c>
      <c r="F127" s="26">
        <v>7</v>
      </c>
      <c r="G127" s="26">
        <v>7</v>
      </c>
      <c r="H127" s="26">
        <v>7</v>
      </c>
      <c r="I127" s="26">
        <v>7</v>
      </c>
      <c r="J127" s="26">
        <v>7</v>
      </c>
      <c r="K127" s="27">
        <v>7</v>
      </c>
      <c r="L127" s="23" t="s">
        <v>292</v>
      </c>
    </row>
    <row r="128" spans="1:12" ht="78.75" x14ac:dyDescent="0.2">
      <c r="A128" s="18"/>
      <c r="B128" s="117"/>
      <c r="C128" s="117"/>
      <c r="D128" s="38" t="s">
        <v>129</v>
      </c>
      <c r="E128" s="23">
        <v>4.5</v>
      </c>
      <c r="F128" s="23">
        <v>4.5</v>
      </c>
      <c r="G128" s="23">
        <v>4.5</v>
      </c>
      <c r="H128" s="23">
        <v>4.5</v>
      </c>
      <c r="I128" s="23">
        <v>4.5</v>
      </c>
      <c r="J128" s="23">
        <v>4.5</v>
      </c>
      <c r="K128" s="22">
        <v>4.5</v>
      </c>
      <c r="L128" s="23" t="s">
        <v>293</v>
      </c>
    </row>
    <row r="129" spans="1:12" ht="32.25" customHeight="1" x14ac:dyDescent="0.2">
      <c r="A129" s="18"/>
      <c r="B129" s="117"/>
      <c r="C129" s="117"/>
      <c r="D129" s="47" t="s">
        <v>130</v>
      </c>
      <c r="E129" s="39">
        <f>SUM(E123:E128)</f>
        <v>52.14</v>
      </c>
      <c r="F129" s="39">
        <f t="shared" ref="F129:K129" si="15">SUM(F123:F128)</f>
        <v>47.14</v>
      </c>
      <c r="G129" s="39">
        <f t="shared" si="15"/>
        <v>42.14</v>
      </c>
      <c r="H129" s="39">
        <f t="shared" si="15"/>
        <v>37.14</v>
      </c>
      <c r="I129" s="39">
        <f t="shared" si="15"/>
        <v>57.14</v>
      </c>
      <c r="J129" s="39">
        <f t="shared" si="15"/>
        <v>52.14</v>
      </c>
      <c r="K129" s="40">
        <f t="shared" si="15"/>
        <v>65.14</v>
      </c>
      <c r="L129" s="23"/>
    </row>
    <row r="130" spans="1:12" ht="6" customHeight="1" x14ac:dyDescent="0.2">
      <c r="A130" s="18"/>
      <c r="B130" s="46"/>
      <c r="C130" s="49"/>
      <c r="D130" s="43"/>
      <c r="E130" s="36"/>
      <c r="F130" s="36"/>
      <c r="G130" s="36"/>
      <c r="H130" s="36"/>
      <c r="I130" s="36"/>
      <c r="J130" s="36"/>
      <c r="K130" s="37"/>
      <c r="L130" s="33"/>
    </row>
    <row r="131" spans="1:12" ht="33.75" customHeight="1" x14ac:dyDescent="0.2">
      <c r="A131" s="18"/>
      <c r="B131" s="117" t="s">
        <v>260</v>
      </c>
      <c r="C131" s="118" t="s">
        <v>131</v>
      </c>
      <c r="D131" s="38" t="s">
        <v>132</v>
      </c>
      <c r="E131" s="26">
        <v>16</v>
      </c>
      <c r="F131" s="26">
        <v>13</v>
      </c>
      <c r="G131" s="26">
        <v>10</v>
      </c>
      <c r="H131" s="26">
        <v>8</v>
      </c>
      <c r="I131" s="26">
        <v>13</v>
      </c>
      <c r="J131" s="26">
        <v>10</v>
      </c>
      <c r="K131" s="27">
        <v>20</v>
      </c>
      <c r="L131" s="23" t="s">
        <v>50</v>
      </c>
    </row>
    <row r="132" spans="1:12" ht="31.5" x14ac:dyDescent="0.2">
      <c r="A132" s="18"/>
      <c r="B132" s="117"/>
      <c r="C132" s="119"/>
      <c r="D132" s="38" t="s">
        <v>133</v>
      </c>
      <c r="E132" s="26">
        <v>1</v>
      </c>
      <c r="F132" s="26">
        <v>1</v>
      </c>
      <c r="G132" s="26">
        <v>1</v>
      </c>
      <c r="H132" s="26">
        <v>1</v>
      </c>
      <c r="I132" s="26">
        <v>1</v>
      </c>
      <c r="J132" s="26">
        <v>1</v>
      </c>
      <c r="K132" s="27">
        <v>1</v>
      </c>
      <c r="L132" s="23" t="s">
        <v>291</v>
      </c>
    </row>
    <row r="133" spans="1:12" ht="15.75" x14ac:dyDescent="0.2">
      <c r="A133" s="18"/>
      <c r="B133" s="117"/>
      <c r="C133" s="119"/>
      <c r="D133" s="38" t="s">
        <v>134</v>
      </c>
      <c r="E133" s="80">
        <v>14.64</v>
      </c>
      <c r="F133" s="80">
        <v>14.64</v>
      </c>
      <c r="G133" s="80">
        <v>14.64</v>
      </c>
      <c r="H133" s="80">
        <v>14.64</v>
      </c>
      <c r="I133" s="80">
        <v>14.64</v>
      </c>
      <c r="J133" s="80">
        <v>14.64</v>
      </c>
      <c r="K133" s="81">
        <v>14.64</v>
      </c>
      <c r="L133" s="23" t="s">
        <v>34</v>
      </c>
    </row>
    <row r="134" spans="1:12" ht="15.75" x14ac:dyDescent="0.2">
      <c r="A134" s="18"/>
      <c r="B134" s="117"/>
      <c r="C134" s="119"/>
      <c r="D134" s="38" t="s">
        <v>135</v>
      </c>
      <c r="E134" s="26">
        <v>7</v>
      </c>
      <c r="F134" s="26">
        <v>7</v>
      </c>
      <c r="G134" s="26">
        <v>7</v>
      </c>
      <c r="H134" s="26">
        <v>7</v>
      </c>
      <c r="I134" s="26">
        <v>7</v>
      </c>
      <c r="J134" s="26">
        <v>7</v>
      </c>
      <c r="K134" s="27">
        <v>7</v>
      </c>
      <c r="L134" s="23" t="s">
        <v>292</v>
      </c>
    </row>
    <row r="135" spans="1:12" ht="78.75" x14ac:dyDescent="0.2">
      <c r="A135" s="18"/>
      <c r="B135" s="117"/>
      <c r="C135" s="119"/>
      <c r="D135" s="38" t="s">
        <v>136</v>
      </c>
      <c r="E135" s="26">
        <v>4.5</v>
      </c>
      <c r="F135" s="26">
        <v>4.5</v>
      </c>
      <c r="G135" s="26">
        <v>4.5</v>
      </c>
      <c r="H135" s="26">
        <v>4.5</v>
      </c>
      <c r="I135" s="26">
        <v>4.5</v>
      </c>
      <c r="J135" s="26">
        <v>4.5</v>
      </c>
      <c r="K135" s="27">
        <v>4.5</v>
      </c>
      <c r="L135" s="23" t="s">
        <v>294</v>
      </c>
    </row>
    <row r="136" spans="1:12" ht="33" customHeight="1" x14ac:dyDescent="0.2">
      <c r="A136" s="18"/>
      <c r="B136" s="117"/>
      <c r="C136" s="119"/>
      <c r="D136" s="42" t="s">
        <v>130</v>
      </c>
      <c r="E136" s="39">
        <f>SUM(E131:E135)</f>
        <v>43.14</v>
      </c>
      <c r="F136" s="39">
        <f t="shared" ref="F136:K136" si="16">SUM(F131:F135)</f>
        <v>40.14</v>
      </c>
      <c r="G136" s="39">
        <f t="shared" si="16"/>
        <v>37.14</v>
      </c>
      <c r="H136" s="39">
        <f t="shared" si="16"/>
        <v>35.14</v>
      </c>
      <c r="I136" s="39">
        <f t="shared" si="16"/>
        <v>40.14</v>
      </c>
      <c r="J136" s="39">
        <f t="shared" si="16"/>
        <v>37.14</v>
      </c>
      <c r="K136" s="40">
        <f t="shared" si="16"/>
        <v>47.14</v>
      </c>
      <c r="L136" s="33"/>
    </row>
    <row r="137" spans="1:12" ht="6" customHeight="1" x14ac:dyDescent="0.2">
      <c r="A137" s="18"/>
      <c r="B137" s="34"/>
      <c r="C137" s="34"/>
      <c r="D137" s="42"/>
      <c r="E137" s="39"/>
      <c r="F137" s="39"/>
      <c r="G137" s="39"/>
      <c r="H137" s="39"/>
      <c r="I137" s="39"/>
      <c r="J137" s="39"/>
      <c r="K137" s="40"/>
      <c r="L137" s="33"/>
    </row>
    <row r="138" spans="1:12" ht="20.25" customHeight="1" x14ac:dyDescent="0.2">
      <c r="A138" s="18"/>
      <c r="B138" s="117" t="s">
        <v>261</v>
      </c>
      <c r="C138" s="118" t="s">
        <v>137</v>
      </c>
      <c r="D138" s="44" t="s">
        <v>138</v>
      </c>
      <c r="E138" s="26">
        <v>5</v>
      </c>
      <c r="F138" s="26">
        <v>5</v>
      </c>
      <c r="G138" s="26">
        <v>5</v>
      </c>
      <c r="H138" s="26">
        <v>5</v>
      </c>
      <c r="I138" s="26">
        <v>5</v>
      </c>
      <c r="J138" s="26">
        <v>5</v>
      </c>
      <c r="K138" s="27">
        <v>5</v>
      </c>
      <c r="L138" s="23" t="s">
        <v>37</v>
      </c>
    </row>
    <row r="139" spans="1:12" ht="46.5" customHeight="1" x14ac:dyDescent="0.2">
      <c r="A139" s="18"/>
      <c r="B139" s="117"/>
      <c r="C139" s="119"/>
      <c r="D139" s="44" t="s">
        <v>139</v>
      </c>
      <c r="E139" s="26">
        <v>4</v>
      </c>
      <c r="F139" s="26">
        <v>4</v>
      </c>
      <c r="G139" s="26">
        <v>4</v>
      </c>
      <c r="H139" s="26">
        <v>4</v>
      </c>
      <c r="I139" s="26">
        <v>4</v>
      </c>
      <c r="J139" s="26">
        <v>4</v>
      </c>
      <c r="K139" s="27">
        <v>4</v>
      </c>
      <c r="L139" s="23" t="s">
        <v>37</v>
      </c>
    </row>
    <row r="140" spans="1:12" ht="30.75" customHeight="1" x14ac:dyDescent="0.2">
      <c r="A140" s="18"/>
      <c r="B140" s="117"/>
      <c r="C140" s="119"/>
      <c r="D140" s="44" t="s">
        <v>140</v>
      </c>
      <c r="E140" s="26">
        <v>25</v>
      </c>
      <c r="F140" s="26">
        <v>20</v>
      </c>
      <c r="G140" s="26">
        <v>15</v>
      </c>
      <c r="H140" s="26">
        <v>10</v>
      </c>
      <c r="I140" s="26">
        <v>20</v>
      </c>
      <c r="J140" s="26">
        <v>15</v>
      </c>
      <c r="K140" s="27">
        <v>28</v>
      </c>
      <c r="L140" s="23" t="s">
        <v>272</v>
      </c>
    </row>
    <row r="141" spans="1:12" ht="33.75" customHeight="1" x14ac:dyDescent="0.2">
      <c r="A141" s="18"/>
      <c r="B141" s="117"/>
      <c r="C141" s="119"/>
      <c r="D141" s="44" t="s">
        <v>141</v>
      </c>
      <c r="E141" s="26"/>
      <c r="F141" s="26"/>
      <c r="G141" s="26"/>
      <c r="H141" s="26"/>
      <c r="I141" s="26">
        <v>10</v>
      </c>
      <c r="J141" s="26">
        <v>10</v>
      </c>
      <c r="K141" s="27">
        <v>10</v>
      </c>
      <c r="L141" s="23" t="s">
        <v>37</v>
      </c>
    </row>
    <row r="142" spans="1:12" ht="33.75" customHeight="1" x14ac:dyDescent="0.2">
      <c r="A142" s="18"/>
      <c r="B142" s="117"/>
      <c r="C142" s="119"/>
      <c r="D142" s="44" t="s">
        <v>142</v>
      </c>
      <c r="E142" s="26">
        <v>1</v>
      </c>
      <c r="F142" s="26">
        <v>1</v>
      </c>
      <c r="G142" s="26">
        <v>1</v>
      </c>
      <c r="H142" s="26">
        <v>1</v>
      </c>
      <c r="I142" s="26">
        <v>1</v>
      </c>
      <c r="J142" s="26">
        <v>1</v>
      </c>
      <c r="K142" s="27">
        <v>1</v>
      </c>
      <c r="L142" s="23" t="s">
        <v>291</v>
      </c>
    </row>
    <row r="143" spans="1:12" ht="33.75" customHeight="1" x14ac:dyDescent="0.2">
      <c r="A143" s="18"/>
      <c r="B143" s="117"/>
      <c r="C143" s="119"/>
      <c r="D143" s="44" t="s">
        <v>143</v>
      </c>
      <c r="E143" s="26">
        <v>3.6</v>
      </c>
      <c r="F143" s="26">
        <v>3.6</v>
      </c>
      <c r="G143" s="26">
        <v>3.6</v>
      </c>
      <c r="H143" s="26">
        <v>3.6</v>
      </c>
      <c r="I143" s="26">
        <v>3.6</v>
      </c>
      <c r="J143" s="26">
        <v>3.6</v>
      </c>
      <c r="K143" s="27">
        <v>3.6</v>
      </c>
      <c r="L143" s="23" t="s">
        <v>273</v>
      </c>
    </row>
    <row r="144" spans="1:12" ht="61.5" customHeight="1" x14ac:dyDescent="0.2">
      <c r="A144" s="18"/>
      <c r="B144" s="117"/>
      <c r="C144" s="119"/>
      <c r="D144" s="44" t="s">
        <v>373</v>
      </c>
      <c r="E144" s="26">
        <v>4.5</v>
      </c>
      <c r="F144" s="26">
        <v>4.5</v>
      </c>
      <c r="G144" s="26">
        <v>4.5</v>
      </c>
      <c r="H144" s="26">
        <v>4.5</v>
      </c>
      <c r="I144" s="26">
        <v>4.5</v>
      </c>
      <c r="J144" s="26">
        <v>4.5</v>
      </c>
      <c r="K144" s="26">
        <v>4.5</v>
      </c>
      <c r="L144" s="23" t="s">
        <v>294</v>
      </c>
    </row>
    <row r="145" spans="1:12" ht="33.75" customHeight="1" x14ac:dyDescent="0.2">
      <c r="A145" s="18"/>
      <c r="B145" s="117"/>
      <c r="C145" s="119"/>
      <c r="D145" s="44" t="s">
        <v>144</v>
      </c>
      <c r="E145" s="80">
        <v>4.08</v>
      </c>
      <c r="F145" s="80">
        <v>4.08</v>
      </c>
      <c r="G145" s="80">
        <v>4.08</v>
      </c>
      <c r="H145" s="80">
        <v>4.08</v>
      </c>
      <c r="I145" s="80">
        <v>4.08</v>
      </c>
      <c r="J145" s="80">
        <v>4.08</v>
      </c>
      <c r="K145" s="81">
        <v>4.08</v>
      </c>
      <c r="L145" s="23" t="s">
        <v>273</v>
      </c>
    </row>
    <row r="146" spans="1:12" ht="31.5" x14ac:dyDescent="0.2">
      <c r="A146" s="18"/>
      <c r="B146" s="117"/>
      <c r="C146" s="119"/>
      <c r="D146" s="47" t="s">
        <v>130</v>
      </c>
      <c r="E146" s="39">
        <f>SUM(E138:E145)</f>
        <v>47.18</v>
      </c>
      <c r="F146" s="39">
        <f t="shared" ref="F146:J146" si="17">SUM(F138:F145)</f>
        <v>42.18</v>
      </c>
      <c r="G146" s="39">
        <f t="shared" si="17"/>
        <v>37.18</v>
      </c>
      <c r="H146" s="39">
        <f t="shared" si="17"/>
        <v>32.18</v>
      </c>
      <c r="I146" s="39">
        <f t="shared" si="17"/>
        <v>52.18</v>
      </c>
      <c r="J146" s="39">
        <f t="shared" si="17"/>
        <v>47.18</v>
      </c>
      <c r="K146" s="40">
        <f>SUM(K138:K145)</f>
        <v>60.18</v>
      </c>
      <c r="L146" s="23"/>
    </row>
    <row r="147" spans="1:12" ht="6" customHeight="1" x14ac:dyDescent="0.2">
      <c r="A147" s="50"/>
      <c r="B147" s="46"/>
      <c r="C147" s="51"/>
      <c r="D147" s="51"/>
      <c r="E147" s="52"/>
      <c r="F147" s="52"/>
      <c r="G147" s="53"/>
      <c r="H147" s="54"/>
      <c r="I147" s="54"/>
      <c r="J147" s="54"/>
      <c r="K147" s="53"/>
      <c r="L147" s="55"/>
    </row>
    <row r="148" spans="1:12" ht="21.75" customHeight="1" x14ac:dyDescent="0.2">
      <c r="A148" s="50"/>
      <c r="B148" s="117" t="s">
        <v>262</v>
      </c>
      <c r="C148" s="117" t="s">
        <v>145</v>
      </c>
      <c r="D148" s="38" t="s">
        <v>146</v>
      </c>
      <c r="E148" s="27">
        <v>5</v>
      </c>
      <c r="F148" s="26">
        <v>5</v>
      </c>
      <c r="G148" s="26">
        <v>5</v>
      </c>
      <c r="H148" s="26">
        <v>5</v>
      </c>
      <c r="I148" s="26">
        <v>5</v>
      </c>
      <c r="J148" s="26">
        <v>5</v>
      </c>
      <c r="K148" s="27">
        <v>5</v>
      </c>
      <c r="L148" s="23" t="s">
        <v>37</v>
      </c>
    </row>
    <row r="149" spans="1:12" ht="47.25" x14ac:dyDescent="0.2">
      <c r="B149" s="117"/>
      <c r="C149" s="117"/>
      <c r="D149" s="38" t="s">
        <v>147</v>
      </c>
      <c r="E149" s="26">
        <v>4</v>
      </c>
      <c r="F149" s="26">
        <v>4</v>
      </c>
      <c r="G149" s="26">
        <v>4</v>
      </c>
      <c r="H149" s="26">
        <v>4</v>
      </c>
      <c r="I149" s="26">
        <v>4</v>
      </c>
      <c r="J149" s="26">
        <v>4</v>
      </c>
      <c r="K149" s="27">
        <v>4</v>
      </c>
      <c r="L149" s="23" t="s">
        <v>37</v>
      </c>
    </row>
    <row r="150" spans="1:12" ht="33" customHeight="1" x14ac:dyDescent="0.2">
      <c r="B150" s="117"/>
      <c r="C150" s="117"/>
      <c r="D150" s="38" t="s">
        <v>148</v>
      </c>
      <c r="E150" s="26">
        <v>43</v>
      </c>
      <c r="F150" s="26">
        <v>34</v>
      </c>
      <c r="G150" s="26">
        <v>26</v>
      </c>
      <c r="H150" s="26">
        <v>17</v>
      </c>
      <c r="I150" s="26">
        <v>34</v>
      </c>
      <c r="J150" s="26">
        <v>26</v>
      </c>
      <c r="K150" s="27">
        <v>36</v>
      </c>
      <c r="L150" s="23" t="s">
        <v>295</v>
      </c>
    </row>
    <row r="151" spans="1:12" ht="33" customHeight="1" x14ac:dyDescent="0.2">
      <c r="B151" s="117"/>
      <c r="C151" s="117"/>
      <c r="D151" s="38" t="s">
        <v>149</v>
      </c>
      <c r="E151" s="26"/>
      <c r="F151" s="26"/>
      <c r="G151" s="26"/>
      <c r="H151" s="26"/>
      <c r="I151" s="26">
        <v>10</v>
      </c>
      <c r="J151" s="26">
        <v>10</v>
      </c>
      <c r="K151" s="27">
        <v>10</v>
      </c>
      <c r="L151" s="23" t="s">
        <v>37</v>
      </c>
    </row>
    <row r="152" spans="1:12" ht="31.5" customHeight="1" x14ac:dyDescent="0.2">
      <c r="B152" s="117"/>
      <c r="C152" s="117"/>
      <c r="D152" s="38" t="s">
        <v>150</v>
      </c>
      <c r="E152" s="26">
        <v>1</v>
      </c>
      <c r="F152" s="26">
        <v>1</v>
      </c>
      <c r="G152" s="26">
        <v>1</v>
      </c>
      <c r="H152" s="26">
        <v>1</v>
      </c>
      <c r="I152" s="26">
        <v>1</v>
      </c>
      <c r="J152" s="26">
        <v>1</v>
      </c>
      <c r="K152" s="27">
        <v>1</v>
      </c>
      <c r="L152" s="23" t="s">
        <v>291</v>
      </c>
    </row>
    <row r="153" spans="1:12" ht="31.5" customHeight="1" x14ac:dyDescent="0.2">
      <c r="B153" s="117"/>
      <c r="C153" s="117"/>
      <c r="D153" s="38" t="s">
        <v>151</v>
      </c>
      <c r="E153" s="26">
        <v>3.6</v>
      </c>
      <c r="F153" s="26">
        <v>3.6</v>
      </c>
      <c r="G153" s="26">
        <v>3.6</v>
      </c>
      <c r="H153" s="26">
        <v>3.6</v>
      </c>
      <c r="I153" s="26">
        <v>3.6</v>
      </c>
      <c r="J153" s="26">
        <v>3.6</v>
      </c>
      <c r="K153" s="27">
        <v>3.6</v>
      </c>
      <c r="L153" s="23" t="s">
        <v>273</v>
      </c>
    </row>
    <row r="154" spans="1:12" ht="63" customHeight="1" x14ac:dyDescent="0.2">
      <c r="B154" s="117"/>
      <c r="C154" s="117"/>
      <c r="D154" s="38" t="s">
        <v>372</v>
      </c>
      <c r="E154" s="26">
        <v>4.5</v>
      </c>
      <c r="F154" s="26">
        <v>4.5</v>
      </c>
      <c r="G154" s="26">
        <v>4.5</v>
      </c>
      <c r="H154" s="26">
        <v>4.5</v>
      </c>
      <c r="I154" s="26">
        <v>4.5</v>
      </c>
      <c r="J154" s="26">
        <v>4.5</v>
      </c>
      <c r="K154" s="26">
        <v>4.5</v>
      </c>
      <c r="L154" s="23" t="s">
        <v>294</v>
      </c>
    </row>
    <row r="155" spans="1:12" ht="31.5" customHeight="1" x14ac:dyDescent="0.2">
      <c r="B155" s="117"/>
      <c r="C155" s="117"/>
      <c r="D155" s="38" t="s">
        <v>152</v>
      </c>
      <c r="E155" s="26">
        <v>4.08</v>
      </c>
      <c r="F155" s="26">
        <v>4.08</v>
      </c>
      <c r="G155" s="26">
        <v>4.08</v>
      </c>
      <c r="H155" s="26">
        <v>4.08</v>
      </c>
      <c r="I155" s="26">
        <v>4.08</v>
      </c>
      <c r="J155" s="26">
        <v>4.08</v>
      </c>
      <c r="K155" s="27">
        <v>4.08</v>
      </c>
      <c r="L155" s="23" t="s">
        <v>296</v>
      </c>
    </row>
    <row r="156" spans="1:12" ht="31.5" customHeight="1" x14ac:dyDescent="0.2">
      <c r="B156" s="117"/>
      <c r="C156" s="117"/>
      <c r="D156" s="42" t="s">
        <v>130</v>
      </c>
      <c r="E156" s="39">
        <f>SUM(E148:E155)</f>
        <v>65.180000000000007</v>
      </c>
      <c r="F156" s="39">
        <f t="shared" ref="F156:K156" si="18">SUM(F148:F155)</f>
        <v>56.18</v>
      </c>
      <c r="G156" s="39">
        <f t="shared" si="18"/>
        <v>48.18</v>
      </c>
      <c r="H156" s="39">
        <f t="shared" si="18"/>
        <v>39.18</v>
      </c>
      <c r="I156" s="39">
        <f t="shared" si="18"/>
        <v>66.180000000000007</v>
      </c>
      <c r="J156" s="39">
        <f t="shared" si="18"/>
        <v>58.18</v>
      </c>
      <c r="K156" s="39">
        <f t="shared" si="18"/>
        <v>68.179999999999993</v>
      </c>
      <c r="L156" s="23"/>
    </row>
    <row r="157" spans="1:12" ht="6" customHeight="1" x14ac:dyDescent="0.2">
      <c r="B157" s="46"/>
      <c r="C157" s="49"/>
      <c r="D157" s="43"/>
      <c r="E157" s="36"/>
      <c r="F157" s="36"/>
      <c r="G157" s="36"/>
      <c r="H157" s="36"/>
      <c r="I157" s="36"/>
      <c r="J157" s="36"/>
      <c r="K157" s="37"/>
      <c r="L157" s="33"/>
    </row>
    <row r="158" spans="1:12" ht="27.75" customHeight="1" x14ac:dyDescent="0.2">
      <c r="B158" s="117" t="s">
        <v>263</v>
      </c>
      <c r="C158" s="118" t="s">
        <v>153</v>
      </c>
      <c r="D158" s="38" t="s">
        <v>154</v>
      </c>
      <c r="E158" s="27">
        <v>20</v>
      </c>
      <c r="F158" s="26">
        <v>20</v>
      </c>
      <c r="G158" s="26">
        <v>20</v>
      </c>
      <c r="H158" s="26">
        <v>20</v>
      </c>
      <c r="I158" s="26">
        <v>20</v>
      </c>
      <c r="J158" s="26">
        <v>20</v>
      </c>
      <c r="K158" s="26">
        <v>20</v>
      </c>
      <c r="L158" s="23" t="s">
        <v>37</v>
      </c>
    </row>
    <row r="159" spans="1:12" ht="47.25" customHeight="1" x14ac:dyDescent="0.2">
      <c r="B159" s="117"/>
      <c r="C159" s="119"/>
      <c r="D159" s="38" t="s">
        <v>155</v>
      </c>
      <c r="E159" s="27">
        <v>4</v>
      </c>
      <c r="F159" s="26">
        <v>4</v>
      </c>
      <c r="G159" s="26">
        <v>4</v>
      </c>
      <c r="H159" s="26">
        <v>4</v>
      </c>
      <c r="I159" s="26">
        <v>4</v>
      </c>
      <c r="J159" s="26">
        <v>4</v>
      </c>
      <c r="K159" s="26">
        <v>4</v>
      </c>
      <c r="L159" s="23" t="s">
        <v>37</v>
      </c>
    </row>
    <row r="160" spans="1:12" ht="34.5" customHeight="1" x14ac:dyDescent="0.2">
      <c r="B160" s="117"/>
      <c r="C160" s="119"/>
      <c r="D160" s="38" t="s">
        <v>156</v>
      </c>
      <c r="E160" s="27">
        <v>25</v>
      </c>
      <c r="F160" s="26">
        <v>20</v>
      </c>
      <c r="G160" s="26">
        <v>15</v>
      </c>
      <c r="H160" s="26">
        <v>10</v>
      </c>
      <c r="I160" s="26">
        <v>20</v>
      </c>
      <c r="J160" s="26">
        <v>15</v>
      </c>
      <c r="K160" s="27">
        <v>28</v>
      </c>
      <c r="L160" s="23" t="s">
        <v>272</v>
      </c>
    </row>
    <row r="161" spans="2:12" ht="33.75" customHeight="1" x14ac:dyDescent="0.2">
      <c r="B161" s="117"/>
      <c r="C161" s="119"/>
      <c r="D161" s="38" t="s">
        <v>157</v>
      </c>
      <c r="E161" s="27"/>
      <c r="F161" s="26"/>
      <c r="G161" s="26"/>
      <c r="H161" s="26"/>
      <c r="I161" s="26">
        <v>10</v>
      </c>
      <c r="J161" s="26">
        <v>10</v>
      </c>
      <c r="K161" s="27">
        <v>10</v>
      </c>
      <c r="L161" s="23" t="s">
        <v>37</v>
      </c>
    </row>
    <row r="162" spans="2:12" ht="32.25" customHeight="1" x14ac:dyDescent="0.2">
      <c r="B162" s="117"/>
      <c r="C162" s="119"/>
      <c r="D162" s="38" t="s">
        <v>158</v>
      </c>
      <c r="E162" s="27">
        <v>1</v>
      </c>
      <c r="F162" s="26">
        <v>1</v>
      </c>
      <c r="G162" s="26">
        <v>1</v>
      </c>
      <c r="H162" s="26">
        <v>1</v>
      </c>
      <c r="I162" s="27">
        <v>1</v>
      </c>
      <c r="J162" s="26">
        <v>1</v>
      </c>
      <c r="K162" s="26">
        <v>1</v>
      </c>
      <c r="L162" s="23" t="s">
        <v>291</v>
      </c>
    </row>
    <row r="163" spans="2:12" ht="33" customHeight="1" x14ac:dyDescent="0.2">
      <c r="B163" s="117"/>
      <c r="C163" s="119"/>
      <c r="D163" s="38" t="s">
        <v>159</v>
      </c>
      <c r="E163" s="27">
        <v>3.6</v>
      </c>
      <c r="F163" s="26">
        <v>3.6</v>
      </c>
      <c r="G163" s="26">
        <v>3.6</v>
      </c>
      <c r="H163" s="26">
        <v>3.6</v>
      </c>
      <c r="I163" s="27">
        <v>3.6</v>
      </c>
      <c r="J163" s="26">
        <v>3.6</v>
      </c>
      <c r="K163" s="26">
        <v>3.6</v>
      </c>
      <c r="L163" s="23" t="s">
        <v>273</v>
      </c>
    </row>
    <row r="164" spans="2:12" ht="18.75" customHeight="1" x14ac:dyDescent="0.2">
      <c r="B164" s="117"/>
      <c r="C164" s="119"/>
      <c r="D164" s="38" t="s">
        <v>160</v>
      </c>
      <c r="E164" s="27">
        <v>7</v>
      </c>
      <c r="F164" s="26">
        <v>7</v>
      </c>
      <c r="G164" s="26">
        <v>7</v>
      </c>
      <c r="H164" s="26">
        <v>7</v>
      </c>
      <c r="I164" s="27">
        <v>7</v>
      </c>
      <c r="J164" s="26">
        <v>7</v>
      </c>
      <c r="K164" s="26">
        <v>7</v>
      </c>
      <c r="L164" s="23" t="s">
        <v>279</v>
      </c>
    </row>
    <row r="165" spans="2:12" ht="78.75" customHeight="1" x14ac:dyDescent="0.2">
      <c r="B165" s="117"/>
      <c r="C165" s="119"/>
      <c r="D165" s="38" t="s">
        <v>161</v>
      </c>
      <c r="E165" s="27">
        <v>4.5</v>
      </c>
      <c r="F165" s="26">
        <v>4.5</v>
      </c>
      <c r="G165" s="26">
        <v>4.5</v>
      </c>
      <c r="H165" s="26">
        <v>4.5</v>
      </c>
      <c r="I165" s="27">
        <v>4.5</v>
      </c>
      <c r="J165" s="26">
        <v>4.5</v>
      </c>
      <c r="K165" s="26">
        <v>4.5</v>
      </c>
      <c r="L165" s="23" t="s">
        <v>294</v>
      </c>
    </row>
    <row r="166" spans="2:12" ht="30.75" customHeight="1" x14ac:dyDescent="0.2">
      <c r="B166" s="117"/>
      <c r="C166" s="119"/>
      <c r="D166" s="43" t="s">
        <v>162</v>
      </c>
      <c r="E166" s="40">
        <f>E159+E160+E161+E162+E163+E164+E165</f>
        <v>45.1</v>
      </c>
      <c r="F166" s="40">
        <f t="shared" ref="F166:K166" si="19">F159+F160+F161+F162+F163+F164+F165</f>
        <v>40.1</v>
      </c>
      <c r="G166" s="40">
        <f t="shared" si="19"/>
        <v>35.1</v>
      </c>
      <c r="H166" s="40">
        <f t="shared" si="19"/>
        <v>30.1</v>
      </c>
      <c r="I166" s="40">
        <f t="shared" si="19"/>
        <v>50.1</v>
      </c>
      <c r="J166" s="40">
        <f t="shared" si="19"/>
        <v>45.1</v>
      </c>
      <c r="K166" s="40">
        <f t="shared" si="19"/>
        <v>58.1</v>
      </c>
      <c r="L166" s="23"/>
    </row>
    <row r="167" spans="2:12" ht="31.5" customHeight="1" x14ac:dyDescent="0.2">
      <c r="B167" s="117"/>
      <c r="C167" s="119"/>
      <c r="D167" s="42" t="s">
        <v>130</v>
      </c>
      <c r="E167" s="40">
        <f>E158+E166</f>
        <v>65.099999999999994</v>
      </c>
      <c r="F167" s="40">
        <f t="shared" ref="F167:J167" si="20">F158+F166</f>
        <v>60.1</v>
      </c>
      <c r="G167" s="40">
        <f t="shared" si="20"/>
        <v>55.1</v>
      </c>
      <c r="H167" s="40">
        <f t="shared" si="20"/>
        <v>50.1</v>
      </c>
      <c r="I167" s="40">
        <f t="shared" si="20"/>
        <v>70.099999999999994</v>
      </c>
      <c r="J167" s="40">
        <f t="shared" si="20"/>
        <v>65.099999999999994</v>
      </c>
      <c r="K167" s="40">
        <f>K158+K166</f>
        <v>78.099999999999994</v>
      </c>
      <c r="L167" s="23"/>
    </row>
    <row r="168" spans="2:12" ht="6" customHeight="1" x14ac:dyDescent="0.2">
      <c r="B168" s="34"/>
      <c r="C168" s="46"/>
      <c r="D168" s="38"/>
      <c r="E168" s="56"/>
      <c r="F168" s="57"/>
      <c r="G168" s="57"/>
      <c r="H168" s="57"/>
      <c r="I168" s="36"/>
      <c r="J168" s="36"/>
      <c r="K168" s="37"/>
      <c r="L168" s="33"/>
    </row>
    <row r="169" spans="2:12" ht="19.5" customHeight="1" x14ac:dyDescent="0.2">
      <c r="B169" s="117" t="s">
        <v>264</v>
      </c>
      <c r="C169" s="120" t="s">
        <v>163</v>
      </c>
      <c r="D169" s="38" t="s">
        <v>164</v>
      </c>
      <c r="E169" s="27">
        <v>20</v>
      </c>
      <c r="F169" s="26">
        <v>20</v>
      </c>
      <c r="G169" s="26">
        <v>20</v>
      </c>
      <c r="H169" s="26">
        <v>20</v>
      </c>
      <c r="I169" s="26">
        <v>20</v>
      </c>
      <c r="J169" s="26">
        <v>20</v>
      </c>
      <c r="K169" s="26">
        <v>20</v>
      </c>
      <c r="L169" s="23" t="s">
        <v>37</v>
      </c>
    </row>
    <row r="170" spans="2:12" ht="62.25" customHeight="1" x14ac:dyDescent="0.2">
      <c r="B170" s="117"/>
      <c r="C170" s="117"/>
      <c r="D170" s="38" t="s">
        <v>165</v>
      </c>
      <c r="E170" s="27">
        <v>4</v>
      </c>
      <c r="F170" s="26">
        <v>4</v>
      </c>
      <c r="G170" s="26">
        <v>4</v>
      </c>
      <c r="H170" s="26">
        <v>4</v>
      </c>
      <c r="I170" s="26">
        <v>4</v>
      </c>
      <c r="J170" s="26">
        <v>4</v>
      </c>
      <c r="K170" s="26">
        <v>4</v>
      </c>
      <c r="L170" s="23" t="s">
        <v>37</v>
      </c>
    </row>
    <row r="171" spans="2:12" ht="31.5" customHeight="1" x14ac:dyDescent="0.2">
      <c r="B171" s="117"/>
      <c r="C171" s="117"/>
      <c r="D171" s="38" t="s">
        <v>166</v>
      </c>
      <c r="E171" s="27">
        <v>43</v>
      </c>
      <c r="F171" s="26">
        <v>34</v>
      </c>
      <c r="G171" s="26">
        <v>26</v>
      </c>
      <c r="H171" s="26">
        <v>17</v>
      </c>
      <c r="I171" s="26">
        <v>34</v>
      </c>
      <c r="J171" s="26">
        <v>26</v>
      </c>
      <c r="K171" s="27">
        <v>36</v>
      </c>
      <c r="L171" s="23" t="s">
        <v>295</v>
      </c>
    </row>
    <row r="172" spans="2:12" ht="31.5" customHeight="1" x14ac:dyDescent="0.2">
      <c r="B172" s="117"/>
      <c r="C172" s="117"/>
      <c r="D172" s="38" t="s">
        <v>167</v>
      </c>
      <c r="E172" s="27"/>
      <c r="F172" s="26"/>
      <c r="G172" s="26"/>
      <c r="H172" s="26"/>
      <c r="I172" s="26">
        <v>10</v>
      </c>
      <c r="J172" s="26">
        <v>10</v>
      </c>
      <c r="K172" s="26">
        <v>10</v>
      </c>
      <c r="L172" s="23" t="s">
        <v>37</v>
      </c>
    </row>
    <row r="173" spans="2:12" ht="30.75" customHeight="1" x14ac:dyDescent="0.2">
      <c r="B173" s="117"/>
      <c r="C173" s="117"/>
      <c r="D173" s="38" t="s">
        <v>168</v>
      </c>
      <c r="E173" s="27">
        <v>1</v>
      </c>
      <c r="F173" s="26">
        <v>1</v>
      </c>
      <c r="G173" s="26">
        <v>1</v>
      </c>
      <c r="H173" s="26">
        <v>1</v>
      </c>
      <c r="I173" s="26">
        <v>1</v>
      </c>
      <c r="J173" s="26">
        <v>1</v>
      </c>
      <c r="K173" s="26">
        <v>1</v>
      </c>
      <c r="L173" s="23" t="s">
        <v>291</v>
      </c>
    </row>
    <row r="174" spans="2:12" ht="32.25" customHeight="1" x14ac:dyDescent="0.2">
      <c r="B174" s="117"/>
      <c r="C174" s="117"/>
      <c r="D174" s="38" t="s">
        <v>169</v>
      </c>
      <c r="E174" s="27">
        <v>3.6</v>
      </c>
      <c r="F174" s="26">
        <v>3.6</v>
      </c>
      <c r="G174" s="26">
        <v>3.6</v>
      </c>
      <c r="H174" s="26">
        <v>3.6</v>
      </c>
      <c r="I174" s="26">
        <v>3.6</v>
      </c>
      <c r="J174" s="26">
        <v>3.6</v>
      </c>
      <c r="K174" s="26">
        <v>3.6</v>
      </c>
      <c r="L174" s="23" t="s">
        <v>273</v>
      </c>
    </row>
    <row r="175" spans="2:12" ht="18.75" customHeight="1" x14ac:dyDescent="0.2">
      <c r="B175" s="117"/>
      <c r="C175" s="117"/>
      <c r="D175" s="38" t="s">
        <v>170</v>
      </c>
      <c r="E175" s="27">
        <v>7</v>
      </c>
      <c r="F175" s="26">
        <v>7</v>
      </c>
      <c r="G175" s="26">
        <v>7</v>
      </c>
      <c r="H175" s="26">
        <v>7</v>
      </c>
      <c r="I175" s="26">
        <v>7</v>
      </c>
      <c r="J175" s="26">
        <v>7</v>
      </c>
      <c r="K175" s="26">
        <v>7</v>
      </c>
      <c r="L175" s="23" t="s">
        <v>279</v>
      </c>
    </row>
    <row r="176" spans="2:12" ht="82.5" customHeight="1" x14ac:dyDescent="0.2">
      <c r="B176" s="117"/>
      <c r="C176" s="117"/>
      <c r="D176" s="38" t="s">
        <v>171</v>
      </c>
      <c r="E176" s="27">
        <v>4.5</v>
      </c>
      <c r="F176" s="26">
        <v>4.5</v>
      </c>
      <c r="G176" s="26">
        <v>4.5</v>
      </c>
      <c r="H176" s="26">
        <v>4.5</v>
      </c>
      <c r="I176" s="26">
        <v>4.5</v>
      </c>
      <c r="J176" s="26">
        <v>4.5</v>
      </c>
      <c r="K176" s="26">
        <v>4.5</v>
      </c>
      <c r="L176" s="23" t="s">
        <v>294</v>
      </c>
    </row>
    <row r="177" spans="2:12" ht="30.75" customHeight="1" x14ac:dyDescent="0.2">
      <c r="B177" s="117"/>
      <c r="C177" s="117"/>
      <c r="D177" s="43" t="s">
        <v>162</v>
      </c>
      <c r="E177" s="40">
        <f>SUM(E170:E176)</f>
        <v>63.1</v>
      </c>
      <c r="F177" s="40">
        <f t="shared" ref="F177:K177" si="21">SUM(F170:F176)</f>
        <v>54.1</v>
      </c>
      <c r="G177" s="40">
        <f t="shared" si="21"/>
        <v>46.1</v>
      </c>
      <c r="H177" s="40">
        <f t="shared" si="21"/>
        <v>37.1</v>
      </c>
      <c r="I177" s="40">
        <f t="shared" si="21"/>
        <v>64.099999999999994</v>
      </c>
      <c r="J177" s="40">
        <f t="shared" si="21"/>
        <v>56.1</v>
      </c>
      <c r="K177" s="40">
        <f t="shared" si="21"/>
        <v>66.099999999999994</v>
      </c>
      <c r="L177" s="23"/>
    </row>
    <row r="178" spans="2:12" ht="38.25" customHeight="1" x14ac:dyDescent="0.2">
      <c r="B178" s="117"/>
      <c r="C178" s="118"/>
      <c r="D178" s="58" t="s">
        <v>130</v>
      </c>
      <c r="E178" s="59">
        <f>E169+E177</f>
        <v>83.1</v>
      </c>
      <c r="F178" s="59">
        <f t="shared" ref="F178:I178" si="22">F169+F177</f>
        <v>74.099999999999994</v>
      </c>
      <c r="G178" s="59">
        <f t="shared" si="22"/>
        <v>66.099999999999994</v>
      </c>
      <c r="H178" s="59">
        <f t="shared" si="22"/>
        <v>57.1</v>
      </c>
      <c r="I178" s="59">
        <f t="shared" si="22"/>
        <v>84.1</v>
      </c>
      <c r="J178" s="59">
        <f>J169+J177</f>
        <v>76.099999999999994</v>
      </c>
      <c r="K178" s="59">
        <f>K169+K177</f>
        <v>86.1</v>
      </c>
      <c r="L178" s="60"/>
    </row>
    <row r="179" spans="2:12" ht="6" customHeight="1" x14ac:dyDescent="0.2">
      <c r="B179" s="34"/>
      <c r="C179" s="46"/>
      <c r="D179" s="43"/>
      <c r="E179" s="36"/>
      <c r="F179" s="36"/>
      <c r="G179" s="36"/>
      <c r="H179" s="36"/>
      <c r="I179" s="36"/>
      <c r="J179" s="36"/>
      <c r="K179" s="36"/>
      <c r="L179" s="33"/>
    </row>
    <row r="180" spans="2:12" ht="25.5" customHeight="1" x14ac:dyDescent="0.2">
      <c r="B180" s="117" t="s">
        <v>265</v>
      </c>
      <c r="C180" s="119" t="s">
        <v>172</v>
      </c>
      <c r="D180" s="61" t="s">
        <v>173</v>
      </c>
      <c r="E180" s="62">
        <v>27</v>
      </c>
      <c r="F180" s="63">
        <v>27</v>
      </c>
      <c r="G180" s="63">
        <v>27</v>
      </c>
      <c r="H180" s="63">
        <v>27</v>
      </c>
      <c r="I180" s="62">
        <v>27</v>
      </c>
      <c r="J180" s="63">
        <v>27</v>
      </c>
      <c r="K180" s="63">
        <v>27</v>
      </c>
      <c r="L180" s="64" t="s">
        <v>37</v>
      </c>
    </row>
    <row r="181" spans="2:12" ht="49.5" customHeight="1" x14ac:dyDescent="0.2">
      <c r="B181" s="117"/>
      <c r="C181" s="119"/>
      <c r="D181" s="38" t="s">
        <v>174</v>
      </c>
      <c r="E181" s="27">
        <v>7</v>
      </c>
      <c r="F181" s="26">
        <v>7</v>
      </c>
      <c r="G181" s="26">
        <v>7</v>
      </c>
      <c r="H181" s="26">
        <v>7</v>
      </c>
      <c r="I181" s="27">
        <v>7</v>
      </c>
      <c r="J181" s="26">
        <v>7</v>
      </c>
      <c r="K181" s="26">
        <v>7</v>
      </c>
      <c r="L181" s="23" t="s">
        <v>37</v>
      </c>
    </row>
    <row r="182" spans="2:12" ht="32.25" customHeight="1" x14ac:dyDescent="0.2">
      <c r="B182" s="117"/>
      <c r="C182" s="119"/>
      <c r="D182" s="38" t="s">
        <v>175</v>
      </c>
      <c r="E182" s="27">
        <v>25</v>
      </c>
      <c r="F182" s="26">
        <v>20</v>
      </c>
      <c r="G182" s="26">
        <v>15</v>
      </c>
      <c r="H182" s="26">
        <v>10</v>
      </c>
      <c r="I182" s="26">
        <v>20</v>
      </c>
      <c r="J182" s="26">
        <v>15</v>
      </c>
      <c r="K182" s="27">
        <v>28</v>
      </c>
      <c r="L182" s="23" t="s">
        <v>272</v>
      </c>
    </row>
    <row r="183" spans="2:12" ht="31.5" customHeight="1" x14ac:dyDescent="0.2">
      <c r="B183" s="117"/>
      <c r="C183" s="119"/>
      <c r="D183" s="38" t="s">
        <v>176</v>
      </c>
      <c r="E183" s="27"/>
      <c r="F183" s="26"/>
      <c r="G183" s="26"/>
      <c r="H183" s="26"/>
      <c r="I183" s="26">
        <v>10</v>
      </c>
      <c r="J183" s="26">
        <v>10</v>
      </c>
      <c r="K183" s="26">
        <v>10</v>
      </c>
      <c r="L183" s="23"/>
    </row>
    <row r="184" spans="2:12" ht="32.25" customHeight="1" x14ac:dyDescent="0.2">
      <c r="B184" s="117"/>
      <c r="C184" s="119"/>
      <c r="D184" s="38" t="s">
        <v>177</v>
      </c>
      <c r="E184" s="27">
        <v>1</v>
      </c>
      <c r="F184" s="26">
        <v>1</v>
      </c>
      <c r="G184" s="26">
        <v>1</v>
      </c>
      <c r="H184" s="26">
        <v>1</v>
      </c>
      <c r="I184" s="27">
        <v>1</v>
      </c>
      <c r="J184" s="26">
        <v>1</v>
      </c>
      <c r="K184" s="26">
        <v>1</v>
      </c>
      <c r="L184" s="23" t="s">
        <v>291</v>
      </c>
    </row>
    <row r="185" spans="2:12" ht="31.5" customHeight="1" x14ac:dyDescent="0.2">
      <c r="B185" s="117"/>
      <c r="C185" s="119"/>
      <c r="D185" s="38" t="s">
        <v>178</v>
      </c>
      <c r="E185" s="27">
        <v>3.6</v>
      </c>
      <c r="F185" s="26">
        <v>3.6</v>
      </c>
      <c r="G185" s="26">
        <v>3.6</v>
      </c>
      <c r="H185" s="26">
        <v>3.6</v>
      </c>
      <c r="I185" s="27">
        <v>3.6</v>
      </c>
      <c r="J185" s="26">
        <v>3.6</v>
      </c>
      <c r="K185" s="26">
        <v>3.6</v>
      </c>
      <c r="L185" s="23" t="s">
        <v>273</v>
      </c>
    </row>
    <row r="186" spans="2:12" ht="19.5" customHeight="1" x14ac:dyDescent="0.2">
      <c r="B186" s="117"/>
      <c r="C186" s="119"/>
      <c r="D186" s="38" t="s">
        <v>179</v>
      </c>
      <c r="E186" s="27">
        <v>7</v>
      </c>
      <c r="F186" s="26">
        <v>7</v>
      </c>
      <c r="G186" s="26">
        <v>7</v>
      </c>
      <c r="H186" s="26">
        <v>7</v>
      </c>
      <c r="I186" s="27">
        <v>7</v>
      </c>
      <c r="J186" s="26">
        <v>7</v>
      </c>
      <c r="K186" s="26">
        <v>7</v>
      </c>
      <c r="L186" s="23" t="s">
        <v>279</v>
      </c>
    </row>
    <row r="187" spans="2:12" ht="81" customHeight="1" x14ac:dyDescent="0.2">
      <c r="B187" s="117"/>
      <c r="C187" s="119"/>
      <c r="D187" s="38" t="s">
        <v>180</v>
      </c>
      <c r="E187" s="27">
        <v>4.5</v>
      </c>
      <c r="F187" s="26">
        <v>4.5</v>
      </c>
      <c r="G187" s="26">
        <v>4.5</v>
      </c>
      <c r="H187" s="26">
        <v>4.5</v>
      </c>
      <c r="I187" s="27">
        <v>4.5</v>
      </c>
      <c r="J187" s="26">
        <v>4.5</v>
      </c>
      <c r="K187" s="26">
        <v>4.5</v>
      </c>
      <c r="L187" s="23" t="s">
        <v>294</v>
      </c>
    </row>
    <row r="188" spans="2:12" ht="30.75" customHeight="1" x14ac:dyDescent="0.2">
      <c r="B188" s="117"/>
      <c r="C188" s="119"/>
      <c r="D188" s="43" t="s">
        <v>181</v>
      </c>
      <c r="E188" s="40">
        <f>SUM(E181:E187)</f>
        <v>48.1</v>
      </c>
      <c r="F188" s="40">
        <f t="shared" ref="F188:K188" si="23">SUM(F181:F187)</f>
        <v>43.1</v>
      </c>
      <c r="G188" s="40">
        <f t="shared" si="23"/>
        <v>38.1</v>
      </c>
      <c r="H188" s="40">
        <f t="shared" si="23"/>
        <v>33.1</v>
      </c>
      <c r="I188" s="40">
        <f t="shared" si="23"/>
        <v>53.1</v>
      </c>
      <c r="J188" s="40">
        <f t="shared" si="23"/>
        <v>48.1</v>
      </c>
      <c r="K188" s="40">
        <f t="shared" si="23"/>
        <v>61.1</v>
      </c>
      <c r="L188" s="33"/>
    </row>
    <row r="189" spans="2:12" ht="30.75" customHeight="1" x14ac:dyDescent="0.2">
      <c r="B189" s="117"/>
      <c r="C189" s="119"/>
      <c r="D189" s="42" t="s">
        <v>130</v>
      </c>
      <c r="E189" s="40">
        <f>E188+E180</f>
        <v>75.099999999999994</v>
      </c>
      <c r="F189" s="40">
        <f t="shared" ref="F189:K189" si="24">F188+F180</f>
        <v>70.099999999999994</v>
      </c>
      <c r="G189" s="40">
        <f t="shared" si="24"/>
        <v>65.099999999999994</v>
      </c>
      <c r="H189" s="40">
        <f t="shared" si="24"/>
        <v>60.1</v>
      </c>
      <c r="I189" s="40">
        <f t="shared" si="24"/>
        <v>80.099999999999994</v>
      </c>
      <c r="J189" s="40">
        <f t="shared" si="24"/>
        <v>75.099999999999994</v>
      </c>
      <c r="K189" s="40">
        <f t="shared" si="24"/>
        <v>88.1</v>
      </c>
      <c r="L189" s="33"/>
    </row>
    <row r="190" spans="2:12" ht="6" customHeight="1" x14ac:dyDescent="0.2">
      <c r="B190" s="34"/>
      <c r="C190" s="46"/>
      <c r="D190" s="43"/>
      <c r="E190" s="37"/>
      <c r="F190" s="36"/>
      <c r="G190" s="36"/>
      <c r="H190" s="36"/>
      <c r="I190" s="36"/>
      <c r="J190" s="36"/>
      <c r="K190" s="37"/>
      <c r="L190" s="33"/>
    </row>
    <row r="191" spans="2:12" ht="20.25" customHeight="1" x14ac:dyDescent="0.2">
      <c r="B191" s="117" t="s">
        <v>266</v>
      </c>
      <c r="C191" s="117" t="s">
        <v>182</v>
      </c>
      <c r="D191" s="38" t="s">
        <v>183</v>
      </c>
      <c r="E191" s="27">
        <v>27</v>
      </c>
      <c r="F191" s="26">
        <v>27</v>
      </c>
      <c r="G191" s="26">
        <v>27</v>
      </c>
      <c r="H191" s="26">
        <v>27</v>
      </c>
      <c r="I191" s="27">
        <v>27</v>
      </c>
      <c r="J191" s="26">
        <v>27</v>
      </c>
      <c r="K191" s="26">
        <v>27</v>
      </c>
      <c r="L191" s="23" t="s">
        <v>37</v>
      </c>
    </row>
    <row r="192" spans="2:12" ht="49.5" customHeight="1" x14ac:dyDescent="0.2">
      <c r="B192" s="117"/>
      <c r="C192" s="117"/>
      <c r="D192" s="38" t="s">
        <v>184</v>
      </c>
      <c r="E192" s="27">
        <v>7</v>
      </c>
      <c r="F192" s="26">
        <v>7</v>
      </c>
      <c r="G192" s="26">
        <v>7</v>
      </c>
      <c r="H192" s="26">
        <v>7</v>
      </c>
      <c r="I192" s="27">
        <v>7</v>
      </c>
      <c r="J192" s="26">
        <v>7</v>
      </c>
      <c r="K192" s="26">
        <v>7</v>
      </c>
      <c r="L192" s="23" t="s">
        <v>37</v>
      </c>
    </row>
    <row r="193" spans="2:13" ht="33" customHeight="1" x14ac:dyDescent="0.2">
      <c r="B193" s="117"/>
      <c r="C193" s="117"/>
      <c r="D193" s="38" t="s">
        <v>185</v>
      </c>
      <c r="E193" s="27">
        <v>43</v>
      </c>
      <c r="F193" s="26">
        <v>34</v>
      </c>
      <c r="G193" s="26">
        <v>26</v>
      </c>
      <c r="H193" s="26">
        <v>17</v>
      </c>
      <c r="I193" s="26">
        <v>34</v>
      </c>
      <c r="J193" s="26">
        <v>26</v>
      </c>
      <c r="K193" s="27">
        <v>36</v>
      </c>
      <c r="L193" s="23" t="s">
        <v>295</v>
      </c>
    </row>
    <row r="194" spans="2:13" ht="33.75" customHeight="1" x14ac:dyDescent="0.2">
      <c r="B194" s="117"/>
      <c r="C194" s="117"/>
      <c r="D194" s="38" t="s">
        <v>186</v>
      </c>
      <c r="E194" s="27"/>
      <c r="F194" s="26"/>
      <c r="G194" s="26"/>
      <c r="H194" s="26"/>
      <c r="I194" s="26">
        <v>10</v>
      </c>
      <c r="J194" s="26">
        <v>10</v>
      </c>
      <c r="K194" s="26">
        <v>10</v>
      </c>
      <c r="L194" s="23" t="s">
        <v>37</v>
      </c>
    </row>
    <row r="195" spans="2:13" ht="32.25" customHeight="1" x14ac:dyDescent="0.2">
      <c r="B195" s="117"/>
      <c r="C195" s="117"/>
      <c r="D195" s="38" t="s">
        <v>187</v>
      </c>
      <c r="E195" s="27">
        <v>1</v>
      </c>
      <c r="F195" s="26">
        <v>1</v>
      </c>
      <c r="G195" s="26">
        <v>1</v>
      </c>
      <c r="H195" s="26">
        <v>1</v>
      </c>
      <c r="I195" s="27">
        <v>1</v>
      </c>
      <c r="J195" s="26">
        <v>1</v>
      </c>
      <c r="K195" s="26">
        <v>1</v>
      </c>
      <c r="L195" s="23" t="s">
        <v>297</v>
      </c>
    </row>
    <row r="196" spans="2:13" ht="33" customHeight="1" x14ac:dyDescent="0.2">
      <c r="B196" s="117"/>
      <c r="C196" s="117"/>
      <c r="D196" s="38" t="s">
        <v>188</v>
      </c>
      <c r="E196" s="27">
        <v>3.6</v>
      </c>
      <c r="F196" s="26">
        <v>3.6</v>
      </c>
      <c r="G196" s="26">
        <v>3.6</v>
      </c>
      <c r="H196" s="26">
        <v>3.6</v>
      </c>
      <c r="I196" s="27">
        <v>3.6</v>
      </c>
      <c r="J196" s="26">
        <v>3.6</v>
      </c>
      <c r="K196" s="26">
        <v>3.6</v>
      </c>
      <c r="L196" s="23" t="s">
        <v>34</v>
      </c>
    </row>
    <row r="197" spans="2:13" ht="15.75" x14ac:dyDescent="0.2">
      <c r="B197" s="117"/>
      <c r="C197" s="117"/>
      <c r="D197" s="38" t="s">
        <v>189</v>
      </c>
      <c r="E197" s="26">
        <v>7</v>
      </c>
      <c r="F197" s="26">
        <v>7</v>
      </c>
      <c r="G197" s="26">
        <v>7</v>
      </c>
      <c r="H197" s="26">
        <v>7</v>
      </c>
      <c r="I197" s="26">
        <v>7</v>
      </c>
      <c r="J197" s="26">
        <v>7</v>
      </c>
      <c r="K197" s="26">
        <v>7</v>
      </c>
      <c r="L197" s="23" t="s">
        <v>288</v>
      </c>
    </row>
    <row r="198" spans="2:13" ht="78.75" x14ac:dyDescent="0.2">
      <c r="B198" s="117"/>
      <c r="C198" s="117"/>
      <c r="D198" s="38" t="s">
        <v>190</v>
      </c>
      <c r="E198" s="26">
        <v>4.5</v>
      </c>
      <c r="F198" s="26">
        <v>4.5</v>
      </c>
      <c r="G198" s="26">
        <v>4.5</v>
      </c>
      <c r="H198" s="26">
        <v>4.5</v>
      </c>
      <c r="I198" s="26">
        <v>4.5</v>
      </c>
      <c r="J198" s="26">
        <v>4.5</v>
      </c>
      <c r="K198" s="26">
        <v>4.5</v>
      </c>
      <c r="L198" s="23" t="s">
        <v>298</v>
      </c>
    </row>
    <row r="199" spans="2:13" ht="15.75" customHeight="1" x14ac:dyDescent="0.2">
      <c r="B199" s="117"/>
      <c r="C199" s="117"/>
      <c r="D199" s="43" t="s">
        <v>191</v>
      </c>
      <c r="E199" s="39">
        <f>SUM(E192:E198)</f>
        <v>66.099999999999994</v>
      </c>
      <c r="F199" s="39">
        <f>SUM(F192:F198)</f>
        <v>57.1</v>
      </c>
      <c r="G199" s="39">
        <f>SUM(G192:G198)</f>
        <v>49.1</v>
      </c>
      <c r="H199" s="39">
        <f>SUM(H192:H198)</f>
        <v>40.1</v>
      </c>
      <c r="I199" s="39">
        <f t="shared" ref="I199:K199" si="25">SUM(I192:I198)</f>
        <v>67.099999999999994</v>
      </c>
      <c r="J199" s="39">
        <f t="shared" si="25"/>
        <v>59.1</v>
      </c>
      <c r="K199" s="39">
        <f t="shared" si="25"/>
        <v>69.099999999999994</v>
      </c>
      <c r="L199" s="33"/>
    </row>
    <row r="200" spans="2:13" ht="32.25" customHeight="1" x14ac:dyDescent="0.2">
      <c r="B200" s="117"/>
      <c r="C200" s="117"/>
      <c r="D200" s="42" t="s">
        <v>130</v>
      </c>
      <c r="E200" s="39">
        <f t="shared" ref="E200:K200" si="26">E191+E199</f>
        <v>93.1</v>
      </c>
      <c r="F200" s="39">
        <f t="shared" si="26"/>
        <v>84.1</v>
      </c>
      <c r="G200" s="39">
        <f t="shared" si="26"/>
        <v>76.099999999999994</v>
      </c>
      <c r="H200" s="39">
        <f t="shared" si="26"/>
        <v>67.099999999999994</v>
      </c>
      <c r="I200" s="39">
        <f t="shared" si="26"/>
        <v>94.1</v>
      </c>
      <c r="J200" s="39">
        <f t="shared" si="26"/>
        <v>86.1</v>
      </c>
      <c r="K200" s="39">
        <f t="shared" si="26"/>
        <v>96.1</v>
      </c>
      <c r="L200" s="33"/>
    </row>
    <row r="201" spans="2:13" x14ac:dyDescent="0.2">
      <c r="B201" s="17"/>
      <c r="C201" s="17"/>
      <c r="D201" s="17"/>
      <c r="E201" s="17"/>
      <c r="F201" s="17"/>
      <c r="G201" s="17"/>
      <c r="H201" s="17"/>
      <c r="I201" s="17"/>
      <c r="J201" s="17"/>
      <c r="K201" s="17"/>
    </row>
    <row r="202" spans="2:13" x14ac:dyDescent="0.2">
      <c r="B202" s="17"/>
      <c r="C202" s="17"/>
      <c r="D202" s="17"/>
      <c r="E202" s="17"/>
      <c r="F202" s="17"/>
      <c r="G202" s="17"/>
      <c r="H202" s="17"/>
      <c r="I202" s="17"/>
      <c r="J202" s="17"/>
      <c r="K202" s="17"/>
    </row>
    <row r="203" spans="2:13" x14ac:dyDescent="0.2">
      <c r="B203" s="17"/>
      <c r="C203" s="17"/>
      <c r="D203" s="17"/>
      <c r="E203" s="17"/>
      <c r="F203" s="17"/>
      <c r="G203" s="17"/>
      <c r="H203" s="17"/>
      <c r="I203" s="17"/>
      <c r="J203" s="17"/>
      <c r="K203" s="17"/>
    </row>
    <row r="204" spans="2:13" ht="18.75" x14ac:dyDescent="0.3">
      <c r="B204" s="65"/>
      <c r="C204" s="66" t="s">
        <v>192</v>
      </c>
      <c r="D204" s="66"/>
      <c r="E204" s="66"/>
      <c r="F204" s="67" t="s">
        <v>193</v>
      </c>
      <c r="G204" s="68" t="s">
        <v>194</v>
      </c>
      <c r="H204" s="66"/>
      <c r="I204" s="69"/>
      <c r="J204" s="69"/>
      <c r="K204" s="69"/>
      <c r="L204" s="69"/>
      <c r="M204" s="69"/>
    </row>
    <row r="205" spans="2:13" ht="18.75" x14ac:dyDescent="0.3">
      <c r="B205" s="65"/>
      <c r="C205" s="66"/>
      <c r="D205" s="66"/>
      <c r="E205" s="66"/>
      <c r="F205" s="67"/>
      <c r="G205" s="68"/>
      <c r="H205" s="66"/>
      <c r="I205" s="69"/>
      <c r="J205" s="69"/>
      <c r="K205" s="69"/>
      <c r="L205" s="69"/>
      <c r="M205" s="69"/>
    </row>
    <row r="206" spans="2:13" ht="18.75" customHeight="1" x14ac:dyDescent="0.3">
      <c r="B206" s="65"/>
      <c r="C206" s="122" t="s">
        <v>195</v>
      </c>
      <c r="D206" s="122"/>
      <c r="E206" s="66"/>
      <c r="F206" s="67" t="s">
        <v>193</v>
      </c>
      <c r="G206" s="68" t="s">
        <v>196</v>
      </c>
      <c r="H206" s="68"/>
      <c r="I206" s="70"/>
      <c r="J206" s="70"/>
      <c r="K206" s="70"/>
      <c r="L206" s="70"/>
      <c r="M206" s="70"/>
    </row>
    <row r="207" spans="2:13" ht="18.75" customHeight="1" x14ac:dyDescent="0.3">
      <c r="B207" s="65"/>
      <c r="C207" s="121"/>
      <c r="D207" s="121"/>
      <c r="E207" s="69"/>
      <c r="F207" s="67"/>
      <c r="G207" s="70"/>
      <c r="H207" s="121"/>
      <c r="I207" s="121"/>
      <c r="J207" s="121"/>
      <c r="K207" s="121"/>
      <c r="L207" s="121"/>
      <c r="M207" s="121"/>
    </row>
    <row r="208" spans="2:13" ht="18.75" customHeight="1" x14ac:dyDescent="0.3">
      <c r="B208" s="17"/>
      <c r="C208" s="79" t="s">
        <v>0</v>
      </c>
      <c r="D208" s="68"/>
      <c r="E208" s="68"/>
      <c r="F208" s="67"/>
      <c r="G208" s="68"/>
      <c r="H208" s="68"/>
      <c r="I208" s="68"/>
      <c r="J208" s="17"/>
      <c r="K208" s="17"/>
      <c r="M208" s="71"/>
    </row>
    <row r="209" spans="2:13" ht="18.75" customHeight="1" x14ac:dyDescent="0.3">
      <c r="B209" s="17"/>
      <c r="C209" s="66"/>
      <c r="D209" s="66" t="s">
        <v>198</v>
      </c>
      <c r="E209" s="66"/>
      <c r="F209" s="67" t="s">
        <v>193</v>
      </c>
      <c r="G209" s="68" t="s">
        <v>2</v>
      </c>
      <c r="H209" s="68"/>
      <c r="I209" s="68"/>
      <c r="J209" s="17"/>
      <c r="K209" s="17"/>
      <c r="M209" s="71"/>
    </row>
    <row r="210" spans="2:13" ht="18.75" customHeight="1" x14ac:dyDescent="0.3">
      <c r="C210" s="66"/>
      <c r="D210" s="66"/>
      <c r="E210" s="66"/>
      <c r="F210" s="67"/>
      <c r="G210" s="68"/>
      <c r="H210" s="68"/>
      <c r="I210" s="68"/>
      <c r="J210" s="17"/>
      <c r="K210" s="17"/>
      <c r="M210" s="71"/>
    </row>
    <row r="211" spans="2:13" ht="18.75" customHeight="1" x14ac:dyDescent="0.3">
      <c r="C211" s="78"/>
      <c r="D211" s="78" t="s">
        <v>199</v>
      </c>
      <c r="E211" s="68"/>
      <c r="F211" s="67" t="s">
        <v>193</v>
      </c>
      <c r="G211" s="68" t="s">
        <v>5</v>
      </c>
      <c r="H211" s="68"/>
      <c r="I211" s="68"/>
      <c r="J211" s="17"/>
      <c r="K211" s="17"/>
      <c r="M211" s="71"/>
    </row>
    <row r="212" spans="2:13" ht="18.75" customHeight="1" x14ac:dyDescent="0.2">
      <c r="C212" s="77"/>
      <c r="D212" s="77"/>
      <c r="E212" s="17"/>
      <c r="F212" s="17"/>
      <c r="G212" s="17"/>
      <c r="H212" s="17"/>
      <c r="I212" s="17"/>
      <c r="J212" s="17"/>
      <c r="K212" s="17"/>
      <c r="M212" s="71"/>
    </row>
  </sheetData>
  <mergeCells count="59">
    <mergeCell ref="B131:B136"/>
    <mergeCell ref="C131:C136"/>
    <mergeCell ref="B138:B146"/>
    <mergeCell ref="C138:C146"/>
    <mergeCell ref="B148:B156"/>
    <mergeCell ref="C148:C156"/>
    <mergeCell ref="H207:M207"/>
    <mergeCell ref="B158:B167"/>
    <mergeCell ref="C158:C167"/>
    <mergeCell ref="B169:B178"/>
    <mergeCell ref="C169:C178"/>
    <mergeCell ref="B180:B189"/>
    <mergeCell ref="C180:C189"/>
    <mergeCell ref="B191:B200"/>
    <mergeCell ref="C191:C200"/>
    <mergeCell ref="C206:D206"/>
    <mergeCell ref="C207:D207"/>
    <mergeCell ref="C123:C129"/>
    <mergeCell ref="B58:B69"/>
    <mergeCell ref="C58:C69"/>
    <mergeCell ref="B71:B82"/>
    <mergeCell ref="C71:C82"/>
    <mergeCell ref="B84:B95"/>
    <mergeCell ref="C84:C95"/>
    <mergeCell ref="B97:B108"/>
    <mergeCell ref="C97:C108"/>
    <mergeCell ref="B110:B121"/>
    <mergeCell ref="C110:C121"/>
    <mergeCell ref="B123:B129"/>
    <mergeCell ref="B24:B32"/>
    <mergeCell ref="C24:C32"/>
    <mergeCell ref="B45:B56"/>
    <mergeCell ref="C45:C56"/>
    <mergeCell ref="C34:C43"/>
    <mergeCell ref="B34:B43"/>
    <mergeCell ref="B18:L18"/>
    <mergeCell ref="B20:B23"/>
    <mergeCell ref="C20:C23"/>
    <mergeCell ref="D20:D23"/>
    <mergeCell ref="E20:K20"/>
    <mergeCell ref="L20:L23"/>
    <mergeCell ref="E21:H22"/>
    <mergeCell ref="I21:J21"/>
    <mergeCell ref="K21:K23"/>
    <mergeCell ref="I22:J22"/>
    <mergeCell ref="B17:L17"/>
    <mergeCell ref="B2:C2"/>
    <mergeCell ref="F2:L2"/>
    <mergeCell ref="F3:L3"/>
    <mergeCell ref="F4:L4"/>
    <mergeCell ref="A11:L11"/>
    <mergeCell ref="B12:L12"/>
    <mergeCell ref="B13:L13"/>
    <mergeCell ref="B14:L14"/>
    <mergeCell ref="B15:L15"/>
    <mergeCell ref="B16:L16"/>
    <mergeCell ref="F5:L5"/>
    <mergeCell ref="B5:D5"/>
    <mergeCell ref="B3:E3"/>
  </mergeCells>
  <printOptions horizontalCentered="1"/>
  <pageMargins left="0.23622047244094491" right="0.23622047244094491" top="0.15748031496062992" bottom="0.35433070866141736" header="0.31496062992125984" footer="0.31496062992125984"/>
  <pageSetup paperSize="9" scale="67" orientation="portrait" verticalDpi="0" r:id="rId1"/>
  <headerFooter alignWithMargins="0"/>
  <rowBreaks count="5" manualBreakCount="5">
    <brk id="43" max="11" man="1"/>
    <brk id="82" max="11" man="1"/>
    <brk id="122" max="11" man="1"/>
    <brk id="157" max="11" man="1"/>
    <brk id="189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1"/>
  <sheetViews>
    <sheetView topLeftCell="A58" zoomScaleNormal="100" zoomScaleSheetLayoutView="59" workbookViewId="0">
      <selection activeCell="D55" sqref="D55"/>
    </sheetView>
  </sheetViews>
  <sheetFormatPr defaultRowHeight="12.75" x14ac:dyDescent="0.2"/>
  <cols>
    <col min="1" max="1" width="1.42578125" style="2" customWidth="1"/>
    <col min="2" max="2" width="4.28515625" style="2" customWidth="1"/>
    <col min="3" max="3" width="16" style="2" customWidth="1"/>
    <col min="4" max="4" width="32.7109375" style="2" customWidth="1"/>
    <col min="5" max="11" width="7.7109375" style="2" customWidth="1"/>
    <col min="12" max="12" width="17.140625" style="17" customWidth="1"/>
    <col min="13" max="13" width="0.85546875" style="2" customWidth="1"/>
    <col min="14" max="14" width="9.140625" style="2" customWidth="1"/>
    <col min="15" max="15" width="43.42578125" style="2" customWidth="1"/>
    <col min="16" max="16" width="9.140625" style="2"/>
    <col min="17" max="24" width="9.140625" style="2" customWidth="1"/>
    <col min="25" max="25" width="8.85546875" style="2" customWidth="1"/>
    <col min="26" max="27" width="9.140625" style="2" hidden="1" customWidth="1"/>
    <col min="28" max="256" width="9.140625" style="2"/>
    <col min="257" max="257" width="1.42578125" style="2" customWidth="1"/>
    <col min="258" max="258" width="4.28515625" style="2" customWidth="1"/>
    <col min="259" max="259" width="16" style="2" customWidth="1"/>
    <col min="260" max="260" width="32.7109375" style="2" customWidth="1"/>
    <col min="261" max="267" width="7.7109375" style="2" customWidth="1"/>
    <col min="268" max="268" width="17.140625" style="2" customWidth="1"/>
    <col min="269" max="269" width="0.85546875" style="2" customWidth="1"/>
    <col min="270" max="270" width="9.140625" style="2" customWidth="1"/>
    <col min="271" max="271" width="43.42578125" style="2" customWidth="1"/>
    <col min="272" max="272" width="9.140625" style="2"/>
    <col min="273" max="280" width="9.140625" style="2" customWidth="1"/>
    <col min="281" max="281" width="8.85546875" style="2" customWidth="1"/>
    <col min="282" max="283" width="0" style="2" hidden="1" customWidth="1"/>
    <col min="284" max="512" width="9.140625" style="2"/>
    <col min="513" max="513" width="1.42578125" style="2" customWidth="1"/>
    <col min="514" max="514" width="4.28515625" style="2" customWidth="1"/>
    <col min="515" max="515" width="16" style="2" customWidth="1"/>
    <col min="516" max="516" width="32.7109375" style="2" customWidth="1"/>
    <col min="517" max="523" width="7.7109375" style="2" customWidth="1"/>
    <col min="524" max="524" width="17.140625" style="2" customWidth="1"/>
    <col min="525" max="525" width="0.85546875" style="2" customWidth="1"/>
    <col min="526" max="526" width="9.140625" style="2" customWidth="1"/>
    <col min="527" max="527" width="43.42578125" style="2" customWidth="1"/>
    <col min="528" max="528" width="9.140625" style="2"/>
    <col min="529" max="536" width="9.140625" style="2" customWidth="1"/>
    <col min="537" max="537" width="8.85546875" style="2" customWidth="1"/>
    <col min="538" max="539" width="0" style="2" hidden="1" customWidth="1"/>
    <col min="540" max="768" width="9.140625" style="2"/>
    <col min="769" max="769" width="1.42578125" style="2" customWidth="1"/>
    <col min="770" max="770" width="4.28515625" style="2" customWidth="1"/>
    <col min="771" max="771" width="16" style="2" customWidth="1"/>
    <col min="772" max="772" width="32.7109375" style="2" customWidth="1"/>
    <col min="773" max="779" width="7.7109375" style="2" customWidth="1"/>
    <col min="780" max="780" width="17.140625" style="2" customWidth="1"/>
    <col min="781" max="781" width="0.85546875" style="2" customWidth="1"/>
    <col min="782" max="782" width="9.140625" style="2" customWidth="1"/>
    <col min="783" max="783" width="43.42578125" style="2" customWidth="1"/>
    <col min="784" max="784" width="9.140625" style="2"/>
    <col min="785" max="792" width="9.140625" style="2" customWidth="1"/>
    <col min="793" max="793" width="8.85546875" style="2" customWidth="1"/>
    <col min="794" max="795" width="0" style="2" hidden="1" customWidth="1"/>
    <col min="796" max="1024" width="9.140625" style="2"/>
    <col min="1025" max="1025" width="1.42578125" style="2" customWidth="1"/>
    <col min="1026" max="1026" width="4.28515625" style="2" customWidth="1"/>
    <col min="1027" max="1027" width="16" style="2" customWidth="1"/>
    <col min="1028" max="1028" width="32.7109375" style="2" customWidth="1"/>
    <col min="1029" max="1035" width="7.7109375" style="2" customWidth="1"/>
    <col min="1036" max="1036" width="17.140625" style="2" customWidth="1"/>
    <col min="1037" max="1037" width="0.85546875" style="2" customWidth="1"/>
    <col min="1038" max="1038" width="9.140625" style="2" customWidth="1"/>
    <col min="1039" max="1039" width="43.42578125" style="2" customWidth="1"/>
    <col min="1040" max="1040" width="9.140625" style="2"/>
    <col min="1041" max="1048" width="9.140625" style="2" customWidth="1"/>
    <col min="1049" max="1049" width="8.85546875" style="2" customWidth="1"/>
    <col min="1050" max="1051" width="0" style="2" hidden="1" customWidth="1"/>
    <col min="1052" max="1280" width="9.140625" style="2"/>
    <col min="1281" max="1281" width="1.42578125" style="2" customWidth="1"/>
    <col min="1282" max="1282" width="4.28515625" style="2" customWidth="1"/>
    <col min="1283" max="1283" width="16" style="2" customWidth="1"/>
    <col min="1284" max="1284" width="32.7109375" style="2" customWidth="1"/>
    <col min="1285" max="1291" width="7.7109375" style="2" customWidth="1"/>
    <col min="1292" max="1292" width="17.140625" style="2" customWidth="1"/>
    <col min="1293" max="1293" width="0.85546875" style="2" customWidth="1"/>
    <col min="1294" max="1294" width="9.140625" style="2" customWidth="1"/>
    <col min="1295" max="1295" width="43.42578125" style="2" customWidth="1"/>
    <col min="1296" max="1296" width="9.140625" style="2"/>
    <col min="1297" max="1304" width="9.140625" style="2" customWidth="1"/>
    <col min="1305" max="1305" width="8.85546875" style="2" customWidth="1"/>
    <col min="1306" max="1307" width="0" style="2" hidden="1" customWidth="1"/>
    <col min="1308" max="1536" width="9.140625" style="2"/>
    <col min="1537" max="1537" width="1.42578125" style="2" customWidth="1"/>
    <col min="1538" max="1538" width="4.28515625" style="2" customWidth="1"/>
    <col min="1539" max="1539" width="16" style="2" customWidth="1"/>
    <col min="1540" max="1540" width="32.7109375" style="2" customWidth="1"/>
    <col min="1541" max="1547" width="7.7109375" style="2" customWidth="1"/>
    <col min="1548" max="1548" width="17.140625" style="2" customWidth="1"/>
    <col min="1549" max="1549" width="0.85546875" style="2" customWidth="1"/>
    <col min="1550" max="1550" width="9.140625" style="2" customWidth="1"/>
    <col min="1551" max="1551" width="43.42578125" style="2" customWidth="1"/>
    <col min="1552" max="1552" width="9.140625" style="2"/>
    <col min="1553" max="1560" width="9.140625" style="2" customWidth="1"/>
    <col min="1561" max="1561" width="8.85546875" style="2" customWidth="1"/>
    <col min="1562" max="1563" width="0" style="2" hidden="1" customWidth="1"/>
    <col min="1564" max="1792" width="9.140625" style="2"/>
    <col min="1793" max="1793" width="1.42578125" style="2" customWidth="1"/>
    <col min="1794" max="1794" width="4.28515625" style="2" customWidth="1"/>
    <col min="1795" max="1795" width="16" style="2" customWidth="1"/>
    <col min="1796" max="1796" width="32.7109375" style="2" customWidth="1"/>
    <col min="1797" max="1803" width="7.7109375" style="2" customWidth="1"/>
    <col min="1804" max="1804" width="17.140625" style="2" customWidth="1"/>
    <col min="1805" max="1805" width="0.85546875" style="2" customWidth="1"/>
    <col min="1806" max="1806" width="9.140625" style="2" customWidth="1"/>
    <col min="1807" max="1807" width="43.42578125" style="2" customWidth="1"/>
    <col min="1808" max="1808" width="9.140625" style="2"/>
    <col min="1809" max="1816" width="9.140625" style="2" customWidth="1"/>
    <col min="1817" max="1817" width="8.85546875" style="2" customWidth="1"/>
    <col min="1818" max="1819" width="0" style="2" hidden="1" customWidth="1"/>
    <col min="1820" max="2048" width="9.140625" style="2"/>
    <col min="2049" max="2049" width="1.42578125" style="2" customWidth="1"/>
    <col min="2050" max="2050" width="4.28515625" style="2" customWidth="1"/>
    <col min="2051" max="2051" width="16" style="2" customWidth="1"/>
    <col min="2052" max="2052" width="32.7109375" style="2" customWidth="1"/>
    <col min="2053" max="2059" width="7.7109375" style="2" customWidth="1"/>
    <col min="2060" max="2060" width="17.140625" style="2" customWidth="1"/>
    <col min="2061" max="2061" width="0.85546875" style="2" customWidth="1"/>
    <col min="2062" max="2062" width="9.140625" style="2" customWidth="1"/>
    <col min="2063" max="2063" width="43.42578125" style="2" customWidth="1"/>
    <col min="2064" max="2064" width="9.140625" style="2"/>
    <col min="2065" max="2072" width="9.140625" style="2" customWidth="1"/>
    <col min="2073" max="2073" width="8.85546875" style="2" customWidth="1"/>
    <col min="2074" max="2075" width="0" style="2" hidden="1" customWidth="1"/>
    <col min="2076" max="2304" width="9.140625" style="2"/>
    <col min="2305" max="2305" width="1.42578125" style="2" customWidth="1"/>
    <col min="2306" max="2306" width="4.28515625" style="2" customWidth="1"/>
    <col min="2307" max="2307" width="16" style="2" customWidth="1"/>
    <col min="2308" max="2308" width="32.7109375" style="2" customWidth="1"/>
    <col min="2309" max="2315" width="7.7109375" style="2" customWidth="1"/>
    <col min="2316" max="2316" width="17.140625" style="2" customWidth="1"/>
    <col min="2317" max="2317" width="0.85546875" style="2" customWidth="1"/>
    <col min="2318" max="2318" width="9.140625" style="2" customWidth="1"/>
    <col min="2319" max="2319" width="43.42578125" style="2" customWidth="1"/>
    <col min="2320" max="2320" width="9.140625" style="2"/>
    <col min="2321" max="2328" width="9.140625" style="2" customWidth="1"/>
    <col min="2329" max="2329" width="8.85546875" style="2" customWidth="1"/>
    <col min="2330" max="2331" width="0" style="2" hidden="1" customWidth="1"/>
    <col min="2332" max="2560" width="9.140625" style="2"/>
    <col min="2561" max="2561" width="1.42578125" style="2" customWidth="1"/>
    <col min="2562" max="2562" width="4.28515625" style="2" customWidth="1"/>
    <col min="2563" max="2563" width="16" style="2" customWidth="1"/>
    <col min="2564" max="2564" width="32.7109375" style="2" customWidth="1"/>
    <col min="2565" max="2571" width="7.7109375" style="2" customWidth="1"/>
    <col min="2572" max="2572" width="17.140625" style="2" customWidth="1"/>
    <col min="2573" max="2573" width="0.85546875" style="2" customWidth="1"/>
    <col min="2574" max="2574" width="9.140625" style="2" customWidth="1"/>
    <col min="2575" max="2575" width="43.42578125" style="2" customWidth="1"/>
    <col min="2576" max="2576" width="9.140625" style="2"/>
    <col min="2577" max="2584" width="9.140625" style="2" customWidth="1"/>
    <col min="2585" max="2585" width="8.85546875" style="2" customWidth="1"/>
    <col min="2586" max="2587" width="0" style="2" hidden="1" customWidth="1"/>
    <col min="2588" max="2816" width="9.140625" style="2"/>
    <col min="2817" max="2817" width="1.42578125" style="2" customWidth="1"/>
    <col min="2818" max="2818" width="4.28515625" style="2" customWidth="1"/>
    <col min="2819" max="2819" width="16" style="2" customWidth="1"/>
    <col min="2820" max="2820" width="32.7109375" style="2" customWidth="1"/>
    <col min="2821" max="2827" width="7.7109375" style="2" customWidth="1"/>
    <col min="2828" max="2828" width="17.140625" style="2" customWidth="1"/>
    <col min="2829" max="2829" width="0.85546875" style="2" customWidth="1"/>
    <col min="2830" max="2830" width="9.140625" style="2" customWidth="1"/>
    <col min="2831" max="2831" width="43.42578125" style="2" customWidth="1"/>
    <col min="2832" max="2832" width="9.140625" style="2"/>
    <col min="2833" max="2840" width="9.140625" style="2" customWidth="1"/>
    <col min="2841" max="2841" width="8.85546875" style="2" customWidth="1"/>
    <col min="2842" max="2843" width="0" style="2" hidden="1" customWidth="1"/>
    <col min="2844" max="3072" width="9.140625" style="2"/>
    <col min="3073" max="3073" width="1.42578125" style="2" customWidth="1"/>
    <col min="3074" max="3074" width="4.28515625" style="2" customWidth="1"/>
    <col min="3075" max="3075" width="16" style="2" customWidth="1"/>
    <col min="3076" max="3076" width="32.7109375" style="2" customWidth="1"/>
    <col min="3077" max="3083" width="7.7109375" style="2" customWidth="1"/>
    <col min="3084" max="3084" width="17.140625" style="2" customWidth="1"/>
    <col min="3085" max="3085" width="0.85546875" style="2" customWidth="1"/>
    <col min="3086" max="3086" width="9.140625" style="2" customWidth="1"/>
    <col min="3087" max="3087" width="43.42578125" style="2" customWidth="1"/>
    <col min="3088" max="3088" width="9.140625" style="2"/>
    <col min="3089" max="3096" width="9.140625" style="2" customWidth="1"/>
    <col min="3097" max="3097" width="8.85546875" style="2" customWidth="1"/>
    <col min="3098" max="3099" width="0" style="2" hidden="1" customWidth="1"/>
    <col min="3100" max="3328" width="9.140625" style="2"/>
    <col min="3329" max="3329" width="1.42578125" style="2" customWidth="1"/>
    <col min="3330" max="3330" width="4.28515625" style="2" customWidth="1"/>
    <col min="3331" max="3331" width="16" style="2" customWidth="1"/>
    <col min="3332" max="3332" width="32.7109375" style="2" customWidth="1"/>
    <col min="3333" max="3339" width="7.7109375" style="2" customWidth="1"/>
    <col min="3340" max="3340" width="17.140625" style="2" customWidth="1"/>
    <col min="3341" max="3341" width="0.85546875" style="2" customWidth="1"/>
    <col min="3342" max="3342" width="9.140625" style="2" customWidth="1"/>
    <col min="3343" max="3343" width="43.42578125" style="2" customWidth="1"/>
    <col min="3344" max="3344" width="9.140625" style="2"/>
    <col min="3345" max="3352" width="9.140625" style="2" customWidth="1"/>
    <col min="3353" max="3353" width="8.85546875" style="2" customWidth="1"/>
    <col min="3354" max="3355" width="0" style="2" hidden="1" customWidth="1"/>
    <col min="3356" max="3584" width="9.140625" style="2"/>
    <col min="3585" max="3585" width="1.42578125" style="2" customWidth="1"/>
    <col min="3586" max="3586" width="4.28515625" style="2" customWidth="1"/>
    <col min="3587" max="3587" width="16" style="2" customWidth="1"/>
    <col min="3588" max="3588" width="32.7109375" style="2" customWidth="1"/>
    <col min="3589" max="3595" width="7.7109375" style="2" customWidth="1"/>
    <col min="3596" max="3596" width="17.140625" style="2" customWidth="1"/>
    <col min="3597" max="3597" width="0.85546875" style="2" customWidth="1"/>
    <col min="3598" max="3598" width="9.140625" style="2" customWidth="1"/>
    <col min="3599" max="3599" width="43.42578125" style="2" customWidth="1"/>
    <col min="3600" max="3600" width="9.140625" style="2"/>
    <col min="3601" max="3608" width="9.140625" style="2" customWidth="1"/>
    <col min="3609" max="3609" width="8.85546875" style="2" customWidth="1"/>
    <col min="3610" max="3611" width="0" style="2" hidden="1" customWidth="1"/>
    <col min="3612" max="3840" width="9.140625" style="2"/>
    <col min="3841" max="3841" width="1.42578125" style="2" customWidth="1"/>
    <col min="3842" max="3842" width="4.28515625" style="2" customWidth="1"/>
    <col min="3843" max="3843" width="16" style="2" customWidth="1"/>
    <col min="3844" max="3844" width="32.7109375" style="2" customWidth="1"/>
    <col min="3845" max="3851" width="7.7109375" style="2" customWidth="1"/>
    <col min="3852" max="3852" width="17.140625" style="2" customWidth="1"/>
    <col min="3853" max="3853" width="0.85546875" style="2" customWidth="1"/>
    <col min="3854" max="3854" width="9.140625" style="2" customWidth="1"/>
    <col min="3855" max="3855" width="43.42578125" style="2" customWidth="1"/>
    <col min="3856" max="3856" width="9.140625" style="2"/>
    <col min="3857" max="3864" width="9.140625" style="2" customWidth="1"/>
    <col min="3865" max="3865" width="8.85546875" style="2" customWidth="1"/>
    <col min="3866" max="3867" width="0" style="2" hidden="1" customWidth="1"/>
    <col min="3868" max="4096" width="9.140625" style="2"/>
    <col min="4097" max="4097" width="1.42578125" style="2" customWidth="1"/>
    <col min="4098" max="4098" width="4.28515625" style="2" customWidth="1"/>
    <col min="4099" max="4099" width="16" style="2" customWidth="1"/>
    <col min="4100" max="4100" width="32.7109375" style="2" customWidth="1"/>
    <col min="4101" max="4107" width="7.7109375" style="2" customWidth="1"/>
    <col min="4108" max="4108" width="17.140625" style="2" customWidth="1"/>
    <col min="4109" max="4109" width="0.85546875" style="2" customWidth="1"/>
    <col min="4110" max="4110" width="9.140625" style="2" customWidth="1"/>
    <col min="4111" max="4111" width="43.42578125" style="2" customWidth="1"/>
    <col min="4112" max="4112" width="9.140625" style="2"/>
    <col min="4113" max="4120" width="9.140625" style="2" customWidth="1"/>
    <col min="4121" max="4121" width="8.85546875" style="2" customWidth="1"/>
    <col min="4122" max="4123" width="0" style="2" hidden="1" customWidth="1"/>
    <col min="4124" max="4352" width="9.140625" style="2"/>
    <col min="4353" max="4353" width="1.42578125" style="2" customWidth="1"/>
    <col min="4354" max="4354" width="4.28515625" style="2" customWidth="1"/>
    <col min="4355" max="4355" width="16" style="2" customWidth="1"/>
    <col min="4356" max="4356" width="32.7109375" style="2" customWidth="1"/>
    <col min="4357" max="4363" width="7.7109375" style="2" customWidth="1"/>
    <col min="4364" max="4364" width="17.140625" style="2" customWidth="1"/>
    <col min="4365" max="4365" width="0.85546875" style="2" customWidth="1"/>
    <col min="4366" max="4366" width="9.140625" style="2" customWidth="1"/>
    <col min="4367" max="4367" width="43.42578125" style="2" customWidth="1"/>
    <col min="4368" max="4368" width="9.140625" style="2"/>
    <col min="4369" max="4376" width="9.140625" style="2" customWidth="1"/>
    <col min="4377" max="4377" width="8.85546875" style="2" customWidth="1"/>
    <col min="4378" max="4379" width="0" style="2" hidden="1" customWidth="1"/>
    <col min="4380" max="4608" width="9.140625" style="2"/>
    <col min="4609" max="4609" width="1.42578125" style="2" customWidth="1"/>
    <col min="4610" max="4610" width="4.28515625" style="2" customWidth="1"/>
    <col min="4611" max="4611" width="16" style="2" customWidth="1"/>
    <col min="4612" max="4612" width="32.7109375" style="2" customWidth="1"/>
    <col min="4613" max="4619" width="7.7109375" style="2" customWidth="1"/>
    <col min="4620" max="4620" width="17.140625" style="2" customWidth="1"/>
    <col min="4621" max="4621" width="0.85546875" style="2" customWidth="1"/>
    <col min="4622" max="4622" width="9.140625" style="2" customWidth="1"/>
    <col min="4623" max="4623" width="43.42578125" style="2" customWidth="1"/>
    <col min="4624" max="4624" width="9.140625" style="2"/>
    <col min="4625" max="4632" width="9.140625" style="2" customWidth="1"/>
    <col min="4633" max="4633" width="8.85546875" style="2" customWidth="1"/>
    <col min="4634" max="4635" width="0" style="2" hidden="1" customWidth="1"/>
    <col min="4636" max="4864" width="9.140625" style="2"/>
    <col min="4865" max="4865" width="1.42578125" style="2" customWidth="1"/>
    <col min="4866" max="4866" width="4.28515625" style="2" customWidth="1"/>
    <col min="4867" max="4867" width="16" style="2" customWidth="1"/>
    <col min="4868" max="4868" width="32.7109375" style="2" customWidth="1"/>
    <col min="4869" max="4875" width="7.7109375" style="2" customWidth="1"/>
    <col min="4876" max="4876" width="17.140625" style="2" customWidth="1"/>
    <col min="4877" max="4877" width="0.85546875" style="2" customWidth="1"/>
    <col min="4878" max="4878" width="9.140625" style="2" customWidth="1"/>
    <col min="4879" max="4879" width="43.42578125" style="2" customWidth="1"/>
    <col min="4880" max="4880" width="9.140625" style="2"/>
    <col min="4881" max="4888" width="9.140625" style="2" customWidth="1"/>
    <col min="4889" max="4889" width="8.85546875" style="2" customWidth="1"/>
    <col min="4890" max="4891" width="0" style="2" hidden="1" customWidth="1"/>
    <col min="4892" max="5120" width="9.140625" style="2"/>
    <col min="5121" max="5121" width="1.42578125" style="2" customWidth="1"/>
    <col min="5122" max="5122" width="4.28515625" style="2" customWidth="1"/>
    <col min="5123" max="5123" width="16" style="2" customWidth="1"/>
    <col min="5124" max="5124" width="32.7109375" style="2" customWidth="1"/>
    <col min="5125" max="5131" width="7.7109375" style="2" customWidth="1"/>
    <col min="5132" max="5132" width="17.140625" style="2" customWidth="1"/>
    <col min="5133" max="5133" width="0.85546875" style="2" customWidth="1"/>
    <col min="5134" max="5134" width="9.140625" style="2" customWidth="1"/>
    <col min="5135" max="5135" width="43.42578125" style="2" customWidth="1"/>
    <col min="5136" max="5136" width="9.140625" style="2"/>
    <col min="5137" max="5144" width="9.140625" style="2" customWidth="1"/>
    <col min="5145" max="5145" width="8.85546875" style="2" customWidth="1"/>
    <col min="5146" max="5147" width="0" style="2" hidden="1" customWidth="1"/>
    <col min="5148" max="5376" width="9.140625" style="2"/>
    <col min="5377" max="5377" width="1.42578125" style="2" customWidth="1"/>
    <col min="5378" max="5378" width="4.28515625" style="2" customWidth="1"/>
    <col min="5379" max="5379" width="16" style="2" customWidth="1"/>
    <col min="5380" max="5380" width="32.7109375" style="2" customWidth="1"/>
    <col min="5381" max="5387" width="7.7109375" style="2" customWidth="1"/>
    <col min="5388" max="5388" width="17.140625" style="2" customWidth="1"/>
    <col min="5389" max="5389" width="0.85546875" style="2" customWidth="1"/>
    <col min="5390" max="5390" width="9.140625" style="2" customWidth="1"/>
    <col min="5391" max="5391" width="43.42578125" style="2" customWidth="1"/>
    <col min="5392" max="5392" width="9.140625" style="2"/>
    <col min="5393" max="5400" width="9.140625" style="2" customWidth="1"/>
    <col min="5401" max="5401" width="8.85546875" style="2" customWidth="1"/>
    <col min="5402" max="5403" width="0" style="2" hidden="1" customWidth="1"/>
    <col min="5404" max="5632" width="9.140625" style="2"/>
    <col min="5633" max="5633" width="1.42578125" style="2" customWidth="1"/>
    <col min="5634" max="5634" width="4.28515625" style="2" customWidth="1"/>
    <col min="5635" max="5635" width="16" style="2" customWidth="1"/>
    <col min="5636" max="5636" width="32.7109375" style="2" customWidth="1"/>
    <col min="5637" max="5643" width="7.7109375" style="2" customWidth="1"/>
    <col min="5644" max="5644" width="17.140625" style="2" customWidth="1"/>
    <col min="5645" max="5645" width="0.85546875" style="2" customWidth="1"/>
    <col min="5646" max="5646" width="9.140625" style="2" customWidth="1"/>
    <col min="5647" max="5647" width="43.42578125" style="2" customWidth="1"/>
    <col min="5648" max="5648" width="9.140625" style="2"/>
    <col min="5649" max="5656" width="9.140625" style="2" customWidth="1"/>
    <col min="5657" max="5657" width="8.85546875" style="2" customWidth="1"/>
    <col min="5658" max="5659" width="0" style="2" hidden="1" customWidth="1"/>
    <col min="5660" max="5888" width="9.140625" style="2"/>
    <col min="5889" max="5889" width="1.42578125" style="2" customWidth="1"/>
    <col min="5890" max="5890" width="4.28515625" style="2" customWidth="1"/>
    <col min="5891" max="5891" width="16" style="2" customWidth="1"/>
    <col min="5892" max="5892" width="32.7109375" style="2" customWidth="1"/>
    <col min="5893" max="5899" width="7.7109375" style="2" customWidth="1"/>
    <col min="5900" max="5900" width="17.140625" style="2" customWidth="1"/>
    <col min="5901" max="5901" width="0.85546875" style="2" customWidth="1"/>
    <col min="5902" max="5902" width="9.140625" style="2" customWidth="1"/>
    <col min="5903" max="5903" width="43.42578125" style="2" customWidth="1"/>
    <col min="5904" max="5904" width="9.140625" style="2"/>
    <col min="5905" max="5912" width="9.140625" style="2" customWidth="1"/>
    <col min="5913" max="5913" width="8.85546875" style="2" customWidth="1"/>
    <col min="5914" max="5915" width="0" style="2" hidden="1" customWidth="1"/>
    <col min="5916" max="6144" width="9.140625" style="2"/>
    <col min="6145" max="6145" width="1.42578125" style="2" customWidth="1"/>
    <col min="6146" max="6146" width="4.28515625" style="2" customWidth="1"/>
    <col min="6147" max="6147" width="16" style="2" customWidth="1"/>
    <col min="6148" max="6148" width="32.7109375" style="2" customWidth="1"/>
    <col min="6149" max="6155" width="7.7109375" style="2" customWidth="1"/>
    <col min="6156" max="6156" width="17.140625" style="2" customWidth="1"/>
    <col min="6157" max="6157" width="0.85546875" style="2" customWidth="1"/>
    <col min="6158" max="6158" width="9.140625" style="2" customWidth="1"/>
    <col min="6159" max="6159" width="43.42578125" style="2" customWidth="1"/>
    <col min="6160" max="6160" width="9.140625" style="2"/>
    <col min="6161" max="6168" width="9.140625" style="2" customWidth="1"/>
    <col min="6169" max="6169" width="8.85546875" style="2" customWidth="1"/>
    <col min="6170" max="6171" width="0" style="2" hidden="1" customWidth="1"/>
    <col min="6172" max="6400" width="9.140625" style="2"/>
    <col min="6401" max="6401" width="1.42578125" style="2" customWidth="1"/>
    <col min="6402" max="6402" width="4.28515625" style="2" customWidth="1"/>
    <col min="6403" max="6403" width="16" style="2" customWidth="1"/>
    <col min="6404" max="6404" width="32.7109375" style="2" customWidth="1"/>
    <col min="6405" max="6411" width="7.7109375" style="2" customWidth="1"/>
    <col min="6412" max="6412" width="17.140625" style="2" customWidth="1"/>
    <col min="6413" max="6413" width="0.85546875" style="2" customWidth="1"/>
    <col min="6414" max="6414" width="9.140625" style="2" customWidth="1"/>
    <col min="6415" max="6415" width="43.42578125" style="2" customWidth="1"/>
    <col min="6416" max="6416" width="9.140625" style="2"/>
    <col min="6417" max="6424" width="9.140625" style="2" customWidth="1"/>
    <col min="6425" max="6425" width="8.85546875" style="2" customWidth="1"/>
    <col min="6426" max="6427" width="0" style="2" hidden="1" customWidth="1"/>
    <col min="6428" max="6656" width="9.140625" style="2"/>
    <col min="6657" max="6657" width="1.42578125" style="2" customWidth="1"/>
    <col min="6658" max="6658" width="4.28515625" style="2" customWidth="1"/>
    <col min="6659" max="6659" width="16" style="2" customWidth="1"/>
    <col min="6660" max="6660" width="32.7109375" style="2" customWidth="1"/>
    <col min="6661" max="6667" width="7.7109375" style="2" customWidth="1"/>
    <col min="6668" max="6668" width="17.140625" style="2" customWidth="1"/>
    <col min="6669" max="6669" width="0.85546875" style="2" customWidth="1"/>
    <col min="6670" max="6670" width="9.140625" style="2" customWidth="1"/>
    <col min="6671" max="6671" width="43.42578125" style="2" customWidth="1"/>
    <col min="6672" max="6672" width="9.140625" style="2"/>
    <col min="6673" max="6680" width="9.140625" style="2" customWidth="1"/>
    <col min="6681" max="6681" width="8.85546875" style="2" customWidth="1"/>
    <col min="6682" max="6683" width="0" style="2" hidden="1" customWidth="1"/>
    <col min="6684" max="6912" width="9.140625" style="2"/>
    <col min="6913" max="6913" width="1.42578125" style="2" customWidth="1"/>
    <col min="6914" max="6914" width="4.28515625" style="2" customWidth="1"/>
    <col min="6915" max="6915" width="16" style="2" customWidth="1"/>
    <col min="6916" max="6916" width="32.7109375" style="2" customWidth="1"/>
    <col min="6917" max="6923" width="7.7109375" style="2" customWidth="1"/>
    <col min="6924" max="6924" width="17.140625" style="2" customWidth="1"/>
    <col min="6925" max="6925" width="0.85546875" style="2" customWidth="1"/>
    <col min="6926" max="6926" width="9.140625" style="2" customWidth="1"/>
    <col min="6927" max="6927" width="43.42578125" style="2" customWidth="1"/>
    <col min="6928" max="6928" width="9.140625" style="2"/>
    <col min="6929" max="6936" width="9.140625" style="2" customWidth="1"/>
    <col min="6937" max="6937" width="8.85546875" style="2" customWidth="1"/>
    <col min="6938" max="6939" width="0" style="2" hidden="1" customWidth="1"/>
    <col min="6940" max="7168" width="9.140625" style="2"/>
    <col min="7169" max="7169" width="1.42578125" style="2" customWidth="1"/>
    <col min="7170" max="7170" width="4.28515625" style="2" customWidth="1"/>
    <col min="7171" max="7171" width="16" style="2" customWidth="1"/>
    <col min="7172" max="7172" width="32.7109375" style="2" customWidth="1"/>
    <col min="7173" max="7179" width="7.7109375" style="2" customWidth="1"/>
    <col min="7180" max="7180" width="17.140625" style="2" customWidth="1"/>
    <col min="7181" max="7181" width="0.85546875" style="2" customWidth="1"/>
    <col min="7182" max="7182" width="9.140625" style="2" customWidth="1"/>
    <col min="7183" max="7183" width="43.42578125" style="2" customWidth="1"/>
    <col min="7184" max="7184" width="9.140625" style="2"/>
    <col min="7185" max="7192" width="9.140625" style="2" customWidth="1"/>
    <col min="7193" max="7193" width="8.85546875" style="2" customWidth="1"/>
    <col min="7194" max="7195" width="0" style="2" hidden="1" customWidth="1"/>
    <col min="7196" max="7424" width="9.140625" style="2"/>
    <col min="7425" max="7425" width="1.42578125" style="2" customWidth="1"/>
    <col min="7426" max="7426" width="4.28515625" style="2" customWidth="1"/>
    <col min="7427" max="7427" width="16" style="2" customWidth="1"/>
    <col min="7428" max="7428" width="32.7109375" style="2" customWidth="1"/>
    <col min="7429" max="7435" width="7.7109375" style="2" customWidth="1"/>
    <col min="7436" max="7436" width="17.140625" style="2" customWidth="1"/>
    <col min="7437" max="7437" width="0.85546875" style="2" customWidth="1"/>
    <col min="7438" max="7438" width="9.140625" style="2" customWidth="1"/>
    <col min="7439" max="7439" width="43.42578125" style="2" customWidth="1"/>
    <col min="7440" max="7440" width="9.140625" style="2"/>
    <col min="7441" max="7448" width="9.140625" style="2" customWidth="1"/>
    <col min="7449" max="7449" width="8.85546875" style="2" customWidth="1"/>
    <col min="7450" max="7451" width="0" style="2" hidden="1" customWidth="1"/>
    <col min="7452" max="7680" width="9.140625" style="2"/>
    <col min="7681" max="7681" width="1.42578125" style="2" customWidth="1"/>
    <col min="7682" max="7682" width="4.28515625" style="2" customWidth="1"/>
    <col min="7683" max="7683" width="16" style="2" customWidth="1"/>
    <col min="7684" max="7684" width="32.7109375" style="2" customWidth="1"/>
    <col min="7685" max="7691" width="7.7109375" style="2" customWidth="1"/>
    <col min="7692" max="7692" width="17.140625" style="2" customWidth="1"/>
    <col min="7693" max="7693" width="0.85546875" style="2" customWidth="1"/>
    <col min="7694" max="7694" width="9.140625" style="2" customWidth="1"/>
    <col min="7695" max="7695" width="43.42578125" style="2" customWidth="1"/>
    <col min="7696" max="7696" width="9.140625" style="2"/>
    <col min="7697" max="7704" width="9.140625" style="2" customWidth="1"/>
    <col min="7705" max="7705" width="8.85546875" style="2" customWidth="1"/>
    <col min="7706" max="7707" width="0" style="2" hidden="1" customWidth="1"/>
    <col min="7708" max="7936" width="9.140625" style="2"/>
    <col min="7937" max="7937" width="1.42578125" style="2" customWidth="1"/>
    <col min="7938" max="7938" width="4.28515625" style="2" customWidth="1"/>
    <col min="7939" max="7939" width="16" style="2" customWidth="1"/>
    <col min="7940" max="7940" width="32.7109375" style="2" customWidth="1"/>
    <col min="7941" max="7947" width="7.7109375" style="2" customWidth="1"/>
    <col min="7948" max="7948" width="17.140625" style="2" customWidth="1"/>
    <col min="7949" max="7949" width="0.85546875" style="2" customWidth="1"/>
    <col min="7950" max="7950" width="9.140625" style="2" customWidth="1"/>
    <col min="7951" max="7951" width="43.42578125" style="2" customWidth="1"/>
    <col min="7952" max="7952" width="9.140625" style="2"/>
    <col min="7953" max="7960" width="9.140625" style="2" customWidth="1"/>
    <col min="7961" max="7961" width="8.85546875" style="2" customWidth="1"/>
    <col min="7962" max="7963" width="0" style="2" hidden="1" customWidth="1"/>
    <col min="7964" max="8192" width="9.140625" style="2"/>
    <col min="8193" max="8193" width="1.42578125" style="2" customWidth="1"/>
    <col min="8194" max="8194" width="4.28515625" style="2" customWidth="1"/>
    <col min="8195" max="8195" width="16" style="2" customWidth="1"/>
    <col min="8196" max="8196" width="32.7109375" style="2" customWidth="1"/>
    <col min="8197" max="8203" width="7.7109375" style="2" customWidth="1"/>
    <col min="8204" max="8204" width="17.140625" style="2" customWidth="1"/>
    <col min="8205" max="8205" width="0.85546875" style="2" customWidth="1"/>
    <col min="8206" max="8206" width="9.140625" style="2" customWidth="1"/>
    <col min="8207" max="8207" width="43.42578125" style="2" customWidth="1"/>
    <col min="8208" max="8208" width="9.140625" style="2"/>
    <col min="8209" max="8216" width="9.140625" style="2" customWidth="1"/>
    <col min="8217" max="8217" width="8.85546875" style="2" customWidth="1"/>
    <col min="8218" max="8219" width="0" style="2" hidden="1" customWidth="1"/>
    <col min="8220" max="8448" width="9.140625" style="2"/>
    <col min="8449" max="8449" width="1.42578125" style="2" customWidth="1"/>
    <col min="8450" max="8450" width="4.28515625" style="2" customWidth="1"/>
    <col min="8451" max="8451" width="16" style="2" customWidth="1"/>
    <col min="8452" max="8452" width="32.7109375" style="2" customWidth="1"/>
    <col min="8453" max="8459" width="7.7109375" style="2" customWidth="1"/>
    <col min="8460" max="8460" width="17.140625" style="2" customWidth="1"/>
    <col min="8461" max="8461" width="0.85546875" style="2" customWidth="1"/>
    <col min="8462" max="8462" width="9.140625" style="2" customWidth="1"/>
    <col min="8463" max="8463" width="43.42578125" style="2" customWidth="1"/>
    <col min="8464" max="8464" width="9.140625" style="2"/>
    <col min="8465" max="8472" width="9.140625" style="2" customWidth="1"/>
    <col min="8473" max="8473" width="8.85546875" style="2" customWidth="1"/>
    <col min="8474" max="8475" width="0" style="2" hidden="1" customWidth="1"/>
    <col min="8476" max="8704" width="9.140625" style="2"/>
    <col min="8705" max="8705" width="1.42578125" style="2" customWidth="1"/>
    <col min="8706" max="8706" width="4.28515625" style="2" customWidth="1"/>
    <col min="8707" max="8707" width="16" style="2" customWidth="1"/>
    <col min="8708" max="8708" width="32.7109375" style="2" customWidth="1"/>
    <col min="8709" max="8715" width="7.7109375" style="2" customWidth="1"/>
    <col min="8716" max="8716" width="17.140625" style="2" customWidth="1"/>
    <col min="8717" max="8717" width="0.85546875" style="2" customWidth="1"/>
    <col min="8718" max="8718" width="9.140625" style="2" customWidth="1"/>
    <col min="8719" max="8719" width="43.42578125" style="2" customWidth="1"/>
    <col min="8720" max="8720" width="9.140625" style="2"/>
    <col min="8721" max="8728" width="9.140625" style="2" customWidth="1"/>
    <col min="8729" max="8729" width="8.85546875" style="2" customWidth="1"/>
    <col min="8730" max="8731" width="0" style="2" hidden="1" customWidth="1"/>
    <col min="8732" max="8960" width="9.140625" style="2"/>
    <col min="8961" max="8961" width="1.42578125" style="2" customWidth="1"/>
    <col min="8962" max="8962" width="4.28515625" style="2" customWidth="1"/>
    <col min="8963" max="8963" width="16" style="2" customWidth="1"/>
    <col min="8964" max="8964" width="32.7109375" style="2" customWidth="1"/>
    <col min="8965" max="8971" width="7.7109375" style="2" customWidth="1"/>
    <col min="8972" max="8972" width="17.140625" style="2" customWidth="1"/>
    <col min="8973" max="8973" width="0.85546875" style="2" customWidth="1"/>
    <col min="8974" max="8974" width="9.140625" style="2" customWidth="1"/>
    <col min="8975" max="8975" width="43.42578125" style="2" customWidth="1"/>
    <col min="8976" max="8976" width="9.140625" style="2"/>
    <col min="8977" max="8984" width="9.140625" style="2" customWidth="1"/>
    <col min="8985" max="8985" width="8.85546875" style="2" customWidth="1"/>
    <col min="8986" max="8987" width="0" style="2" hidden="1" customWidth="1"/>
    <col min="8988" max="9216" width="9.140625" style="2"/>
    <col min="9217" max="9217" width="1.42578125" style="2" customWidth="1"/>
    <col min="9218" max="9218" width="4.28515625" style="2" customWidth="1"/>
    <col min="9219" max="9219" width="16" style="2" customWidth="1"/>
    <col min="9220" max="9220" width="32.7109375" style="2" customWidth="1"/>
    <col min="9221" max="9227" width="7.7109375" style="2" customWidth="1"/>
    <col min="9228" max="9228" width="17.140625" style="2" customWidth="1"/>
    <col min="9229" max="9229" width="0.85546875" style="2" customWidth="1"/>
    <col min="9230" max="9230" width="9.140625" style="2" customWidth="1"/>
    <col min="9231" max="9231" width="43.42578125" style="2" customWidth="1"/>
    <col min="9232" max="9232" width="9.140625" style="2"/>
    <col min="9233" max="9240" width="9.140625" style="2" customWidth="1"/>
    <col min="9241" max="9241" width="8.85546875" style="2" customWidth="1"/>
    <col min="9242" max="9243" width="0" style="2" hidden="1" customWidth="1"/>
    <col min="9244" max="9472" width="9.140625" style="2"/>
    <col min="9473" max="9473" width="1.42578125" style="2" customWidth="1"/>
    <col min="9474" max="9474" width="4.28515625" style="2" customWidth="1"/>
    <col min="9475" max="9475" width="16" style="2" customWidth="1"/>
    <col min="9476" max="9476" width="32.7109375" style="2" customWidth="1"/>
    <col min="9477" max="9483" width="7.7109375" style="2" customWidth="1"/>
    <col min="9484" max="9484" width="17.140625" style="2" customWidth="1"/>
    <col min="9485" max="9485" width="0.85546875" style="2" customWidth="1"/>
    <col min="9486" max="9486" width="9.140625" style="2" customWidth="1"/>
    <col min="9487" max="9487" width="43.42578125" style="2" customWidth="1"/>
    <col min="9488" max="9488" width="9.140625" style="2"/>
    <col min="9489" max="9496" width="9.140625" style="2" customWidth="1"/>
    <col min="9497" max="9497" width="8.85546875" style="2" customWidth="1"/>
    <col min="9498" max="9499" width="0" style="2" hidden="1" customWidth="1"/>
    <col min="9500" max="9728" width="9.140625" style="2"/>
    <col min="9729" max="9729" width="1.42578125" style="2" customWidth="1"/>
    <col min="9730" max="9730" width="4.28515625" style="2" customWidth="1"/>
    <col min="9731" max="9731" width="16" style="2" customWidth="1"/>
    <col min="9732" max="9732" width="32.7109375" style="2" customWidth="1"/>
    <col min="9733" max="9739" width="7.7109375" style="2" customWidth="1"/>
    <col min="9740" max="9740" width="17.140625" style="2" customWidth="1"/>
    <col min="9741" max="9741" width="0.85546875" style="2" customWidth="1"/>
    <col min="9742" max="9742" width="9.140625" style="2" customWidth="1"/>
    <col min="9743" max="9743" width="43.42578125" style="2" customWidth="1"/>
    <col min="9744" max="9744" width="9.140625" style="2"/>
    <col min="9745" max="9752" width="9.140625" style="2" customWidth="1"/>
    <col min="9753" max="9753" width="8.85546875" style="2" customWidth="1"/>
    <col min="9754" max="9755" width="0" style="2" hidden="1" customWidth="1"/>
    <col min="9756" max="9984" width="9.140625" style="2"/>
    <col min="9985" max="9985" width="1.42578125" style="2" customWidth="1"/>
    <col min="9986" max="9986" width="4.28515625" style="2" customWidth="1"/>
    <col min="9987" max="9987" width="16" style="2" customWidth="1"/>
    <col min="9988" max="9988" width="32.7109375" style="2" customWidth="1"/>
    <col min="9989" max="9995" width="7.7109375" style="2" customWidth="1"/>
    <col min="9996" max="9996" width="17.140625" style="2" customWidth="1"/>
    <col min="9997" max="9997" width="0.85546875" style="2" customWidth="1"/>
    <col min="9998" max="9998" width="9.140625" style="2" customWidth="1"/>
    <col min="9999" max="9999" width="43.42578125" style="2" customWidth="1"/>
    <col min="10000" max="10000" width="9.140625" style="2"/>
    <col min="10001" max="10008" width="9.140625" style="2" customWidth="1"/>
    <col min="10009" max="10009" width="8.85546875" style="2" customWidth="1"/>
    <col min="10010" max="10011" width="0" style="2" hidden="1" customWidth="1"/>
    <col min="10012" max="10240" width="9.140625" style="2"/>
    <col min="10241" max="10241" width="1.42578125" style="2" customWidth="1"/>
    <col min="10242" max="10242" width="4.28515625" style="2" customWidth="1"/>
    <col min="10243" max="10243" width="16" style="2" customWidth="1"/>
    <col min="10244" max="10244" width="32.7109375" style="2" customWidth="1"/>
    <col min="10245" max="10251" width="7.7109375" style="2" customWidth="1"/>
    <col min="10252" max="10252" width="17.140625" style="2" customWidth="1"/>
    <col min="10253" max="10253" width="0.85546875" style="2" customWidth="1"/>
    <col min="10254" max="10254" width="9.140625" style="2" customWidth="1"/>
    <col min="10255" max="10255" width="43.42578125" style="2" customWidth="1"/>
    <col min="10256" max="10256" width="9.140625" style="2"/>
    <col min="10257" max="10264" width="9.140625" style="2" customWidth="1"/>
    <col min="10265" max="10265" width="8.85546875" style="2" customWidth="1"/>
    <col min="10266" max="10267" width="0" style="2" hidden="1" customWidth="1"/>
    <col min="10268" max="10496" width="9.140625" style="2"/>
    <col min="10497" max="10497" width="1.42578125" style="2" customWidth="1"/>
    <col min="10498" max="10498" width="4.28515625" style="2" customWidth="1"/>
    <col min="10499" max="10499" width="16" style="2" customWidth="1"/>
    <col min="10500" max="10500" width="32.7109375" style="2" customWidth="1"/>
    <col min="10501" max="10507" width="7.7109375" style="2" customWidth="1"/>
    <col min="10508" max="10508" width="17.140625" style="2" customWidth="1"/>
    <col min="10509" max="10509" width="0.85546875" style="2" customWidth="1"/>
    <col min="10510" max="10510" width="9.140625" style="2" customWidth="1"/>
    <col min="10511" max="10511" width="43.42578125" style="2" customWidth="1"/>
    <col min="10512" max="10512" width="9.140625" style="2"/>
    <col min="10513" max="10520" width="9.140625" style="2" customWidth="1"/>
    <col min="10521" max="10521" width="8.85546875" style="2" customWidth="1"/>
    <col min="10522" max="10523" width="0" style="2" hidden="1" customWidth="1"/>
    <col min="10524" max="10752" width="9.140625" style="2"/>
    <col min="10753" max="10753" width="1.42578125" style="2" customWidth="1"/>
    <col min="10754" max="10754" width="4.28515625" style="2" customWidth="1"/>
    <col min="10755" max="10755" width="16" style="2" customWidth="1"/>
    <col min="10756" max="10756" width="32.7109375" style="2" customWidth="1"/>
    <col min="10757" max="10763" width="7.7109375" style="2" customWidth="1"/>
    <col min="10764" max="10764" width="17.140625" style="2" customWidth="1"/>
    <col min="10765" max="10765" width="0.85546875" style="2" customWidth="1"/>
    <col min="10766" max="10766" width="9.140625" style="2" customWidth="1"/>
    <col min="10767" max="10767" width="43.42578125" style="2" customWidth="1"/>
    <col min="10768" max="10768" width="9.140625" style="2"/>
    <col min="10769" max="10776" width="9.140625" style="2" customWidth="1"/>
    <col min="10777" max="10777" width="8.85546875" style="2" customWidth="1"/>
    <col min="10778" max="10779" width="0" style="2" hidden="1" customWidth="1"/>
    <col min="10780" max="11008" width="9.140625" style="2"/>
    <col min="11009" max="11009" width="1.42578125" style="2" customWidth="1"/>
    <col min="11010" max="11010" width="4.28515625" style="2" customWidth="1"/>
    <col min="11011" max="11011" width="16" style="2" customWidth="1"/>
    <col min="11012" max="11012" width="32.7109375" style="2" customWidth="1"/>
    <col min="11013" max="11019" width="7.7109375" style="2" customWidth="1"/>
    <col min="11020" max="11020" width="17.140625" style="2" customWidth="1"/>
    <col min="11021" max="11021" width="0.85546875" style="2" customWidth="1"/>
    <col min="11022" max="11022" width="9.140625" style="2" customWidth="1"/>
    <col min="11023" max="11023" width="43.42578125" style="2" customWidth="1"/>
    <col min="11024" max="11024" width="9.140625" style="2"/>
    <col min="11025" max="11032" width="9.140625" style="2" customWidth="1"/>
    <col min="11033" max="11033" width="8.85546875" style="2" customWidth="1"/>
    <col min="11034" max="11035" width="0" style="2" hidden="1" customWidth="1"/>
    <col min="11036" max="11264" width="9.140625" style="2"/>
    <col min="11265" max="11265" width="1.42578125" style="2" customWidth="1"/>
    <col min="11266" max="11266" width="4.28515625" style="2" customWidth="1"/>
    <col min="11267" max="11267" width="16" style="2" customWidth="1"/>
    <col min="11268" max="11268" width="32.7109375" style="2" customWidth="1"/>
    <col min="11269" max="11275" width="7.7109375" style="2" customWidth="1"/>
    <col min="11276" max="11276" width="17.140625" style="2" customWidth="1"/>
    <col min="11277" max="11277" width="0.85546875" style="2" customWidth="1"/>
    <col min="11278" max="11278" width="9.140625" style="2" customWidth="1"/>
    <col min="11279" max="11279" width="43.42578125" style="2" customWidth="1"/>
    <col min="11280" max="11280" width="9.140625" style="2"/>
    <col min="11281" max="11288" width="9.140625" style="2" customWidth="1"/>
    <col min="11289" max="11289" width="8.85546875" style="2" customWidth="1"/>
    <col min="11290" max="11291" width="0" style="2" hidden="1" customWidth="1"/>
    <col min="11292" max="11520" width="9.140625" style="2"/>
    <col min="11521" max="11521" width="1.42578125" style="2" customWidth="1"/>
    <col min="11522" max="11522" width="4.28515625" style="2" customWidth="1"/>
    <col min="11523" max="11523" width="16" style="2" customWidth="1"/>
    <col min="11524" max="11524" width="32.7109375" style="2" customWidth="1"/>
    <col min="11525" max="11531" width="7.7109375" style="2" customWidth="1"/>
    <col min="11532" max="11532" width="17.140625" style="2" customWidth="1"/>
    <col min="11533" max="11533" width="0.85546875" style="2" customWidth="1"/>
    <col min="11534" max="11534" width="9.140625" style="2" customWidth="1"/>
    <col min="11535" max="11535" width="43.42578125" style="2" customWidth="1"/>
    <col min="11536" max="11536" width="9.140625" style="2"/>
    <col min="11537" max="11544" width="9.140625" style="2" customWidth="1"/>
    <col min="11545" max="11545" width="8.85546875" style="2" customWidth="1"/>
    <col min="11546" max="11547" width="0" style="2" hidden="1" customWidth="1"/>
    <col min="11548" max="11776" width="9.140625" style="2"/>
    <col min="11777" max="11777" width="1.42578125" style="2" customWidth="1"/>
    <col min="11778" max="11778" width="4.28515625" style="2" customWidth="1"/>
    <col min="11779" max="11779" width="16" style="2" customWidth="1"/>
    <col min="11780" max="11780" width="32.7109375" style="2" customWidth="1"/>
    <col min="11781" max="11787" width="7.7109375" style="2" customWidth="1"/>
    <col min="11788" max="11788" width="17.140625" style="2" customWidth="1"/>
    <col min="11789" max="11789" width="0.85546875" style="2" customWidth="1"/>
    <col min="11790" max="11790" width="9.140625" style="2" customWidth="1"/>
    <col min="11791" max="11791" width="43.42578125" style="2" customWidth="1"/>
    <col min="11792" max="11792" width="9.140625" style="2"/>
    <col min="11793" max="11800" width="9.140625" style="2" customWidth="1"/>
    <col min="11801" max="11801" width="8.85546875" style="2" customWidth="1"/>
    <col min="11802" max="11803" width="0" style="2" hidden="1" customWidth="1"/>
    <col min="11804" max="12032" width="9.140625" style="2"/>
    <col min="12033" max="12033" width="1.42578125" style="2" customWidth="1"/>
    <col min="12034" max="12034" width="4.28515625" style="2" customWidth="1"/>
    <col min="12035" max="12035" width="16" style="2" customWidth="1"/>
    <col min="12036" max="12036" width="32.7109375" style="2" customWidth="1"/>
    <col min="12037" max="12043" width="7.7109375" style="2" customWidth="1"/>
    <col min="12044" max="12044" width="17.140625" style="2" customWidth="1"/>
    <col min="12045" max="12045" width="0.85546875" style="2" customWidth="1"/>
    <col min="12046" max="12046" width="9.140625" style="2" customWidth="1"/>
    <col min="12047" max="12047" width="43.42578125" style="2" customWidth="1"/>
    <col min="12048" max="12048" width="9.140625" style="2"/>
    <col min="12049" max="12056" width="9.140625" style="2" customWidth="1"/>
    <col min="12057" max="12057" width="8.85546875" style="2" customWidth="1"/>
    <col min="12058" max="12059" width="0" style="2" hidden="1" customWidth="1"/>
    <col min="12060" max="12288" width="9.140625" style="2"/>
    <col min="12289" max="12289" width="1.42578125" style="2" customWidth="1"/>
    <col min="12290" max="12290" width="4.28515625" style="2" customWidth="1"/>
    <col min="12291" max="12291" width="16" style="2" customWidth="1"/>
    <col min="12292" max="12292" width="32.7109375" style="2" customWidth="1"/>
    <col min="12293" max="12299" width="7.7109375" style="2" customWidth="1"/>
    <col min="12300" max="12300" width="17.140625" style="2" customWidth="1"/>
    <col min="12301" max="12301" width="0.85546875" style="2" customWidth="1"/>
    <col min="12302" max="12302" width="9.140625" style="2" customWidth="1"/>
    <col min="12303" max="12303" width="43.42578125" style="2" customWidth="1"/>
    <col min="12304" max="12304" width="9.140625" style="2"/>
    <col min="12305" max="12312" width="9.140625" style="2" customWidth="1"/>
    <col min="12313" max="12313" width="8.85546875" style="2" customWidth="1"/>
    <col min="12314" max="12315" width="0" style="2" hidden="1" customWidth="1"/>
    <col min="12316" max="12544" width="9.140625" style="2"/>
    <col min="12545" max="12545" width="1.42578125" style="2" customWidth="1"/>
    <col min="12546" max="12546" width="4.28515625" style="2" customWidth="1"/>
    <col min="12547" max="12547" width="16" style="2" customWidth="1"/>
    <col min="12548" max="12548" width="32.7109375" style="2" customWidth="1"/>
    <col min="12549" max="12555" width="7.7109375" style="2" customWidth="1"/>
    <col min="12556" max="12556" width="17.140625" style="2" customWidth="1"/>
    <col min="12557" max="12557" width="0.85546875" style="2" customWidth="1"/>
    <col min="12558" max="12558" width="9.140625" style="2" customWidth="1"/>
    <col min="12559" max="12559" width="43.42578125" style="2" customWidth="1"/>
    <col min="12560" max="12560" width="9.140625" style="2"/>
    <col min="12561" max="12568" width="9.140625" style="2" customWidth="1"/>
    <col min="12569" max="12569" width="8.85546875" style="2" customWidth="1"/>
    <col min="12570" max="12571" width="0" style="2" hidden="1" customWidth="1"/>
    <col min="12572" max="12800" width="9.140625" style="2"/>
    <col min="12801" max="12801" width="1.42578125" style="2" customWidth="1"/>
    <col min="12802" max="12802" width="4.28515625" style="2" customWidth="1"/>
    <col min="12803" max="12803" width="16" style="2" customWidth="1"/>
    <col min="12804" max="12804" width="32.7109375" style="2" customWidth="1"/>
    <col min="12805" max="12811" width="7.7109375" style="2" customWidth="1"/>
    <col min="12812" max="12812" width="17.140625" style="2" customWidth="1"/>
    <col min="12813" max="12813" width="0.85546875" style="2" customWidth="1"/>
    <col min="12814" max="12814" width="9.140625" style="2" customWidth="1"/>
    <col min="12815" max="12815" width="43.42578125" style="2" customWidth="1"/>
    <col min="12816" max="12816" width="9.140625" style="2"/>
    <col min="12817" max="12824" width="9.140625" style="2" customWidth="1"/>
    <col min="12825" max="12825" width="8.85546875" style="2" customWidth="1"/>
    <col min="12826" max="12827" width="0" style="2" hidden="1" customWidth="1"/>
    <col min="12828" max="13056" width="9.140625" style="2"/>
    <col min="13057" max="13057" width="1.42578125" style="2" customWidth="1"/>
    <col min="13058" max="13058" width="4.28515625" style="2" customWidth="1"/>
    <col min="13059" max="13059" width="16" style="2" customWidth="1"/>
    <col min="13060" max="13060" width="32.7109375" style="2" customWidth="1"/>
    <col min="13061" max="13067" width="7.7109375" style="2" customWidth="1"/>
    <col min="13068" max="13068" width="17.140625" style="2" customWidth="1"/>
    <col min="13069" max="13069" width="0.85546875" style="2" customWidth="1"/>
    <col min="13070" max="13070" width="9.140625" style="2" customWidth="1"/>
    <col min="13071" max="13071" width="43.42578125" style="2" customWidth="1"/>
    <col min="13072" max="13072" width="9.140625" style="2"/>
    <col min="13073" max="13080" width="9.140625" style="2" customWidth="1"/>
    <col min="13081" max="13081" width="8.85546875" style="2" customWidth="1"/>
    <col min="13082" max="13083" width="0" style="2" hidden="1" customWidth="1"/>
    <col min="13084" max="13312" width="9.140625" style="2"/>
    <col min="13313" max="13313" width="1.42578125" style="2" customWidth="1"/>
    <col min="13314" max="13314" width="4.28515625" style="2" customWidth="1"/>
    <col min="13315" max="13315" width="16" style="2" customWidth="1"/>
    <col min="13316" max="13316" width="32.7109375" style="2" customWidth="1"/>
    <col min="13317" max="13323" width="7.7109375" style="2" customWidth="1"/>
    <col min="13324" max="13324" width="17.140625" style="2" customWidth="1"/>
    <col min="13325" max="13325" width="0.85546875" style="2" customWidth="1"/>
    <col min="13326" max="13326" width="9.140625" style="2" customWidth="1"/>
    <col min="13327" max="13327" width="43.42578125" style="2" customWidth="1"/>
    <col min="13328" max="13328" width="9.140625" style="2"/>
    <col min="13329" max="13336" width="9.140625" style="2" customWidth="1"/>
    <col min="13337" max="13337" width="8.85546875" style="2" customWidth="1"/>
    <col min="13338" max="13339" width="0" style="2" hidden="1" customWidth="1"/>
    <col min="13340" max="13568" width="9.140625" style="2"/>
    <col min="13569" max="13569" width="1.42578125" style="2" customWidth="1"/>
    <col min="13570" max="13570" width="4.28515625" style="2" customWidth="1"/>
    <col min="13571" max="13571" width="16" style="2" customWidth="1"/>
    <col min="13572" max="13572" width="32.7109375" style="2" customWidth="1"/>
    <col min="13573" max="13579" width="7.7109375" style="2" customWidth="1"/>
    <col min="13580" max="13580" width="17.140625" style="2" customWidth="1"/>
    <col min="13581" max="13581" width="0.85546875" style="2" customWidth="1"/>
    <col min="13582" max="13582" width="9.140625" style="2" customWidth="1"/>
    <col min="13583" max="13583" width="43.42578125" style="2" customWidth="1"/>
    <col min="13584" max="13584" width="9.140625" style="2"/>
    <col min="13585" max="13592" width="9.140625" style="2" customWidth="1"/>
    <col min="13593" max="13593" width="8.85546875" style="2" customWidth="1"/>
    <col min="13594" max="13595" width="0" style="2" hidden="1" customWidth="1"/>
    <col min="13596" max="13824" width="9.140625" style="2"/>
    <col min="13825" max="13825" width="1.42578125" style="2" customWidth="1"/>
    <col min="13826" max="13826" width="4.28515625" style="2" customWidth="1"/>
    <col min="13827" max="13827" width="16" style="2" customWidth="1"/>
    <col min="13828" max="13828" width="32.7109375" style="2" customWidth="1"/>
    <col min="13829" max="13835" width="7.7109375" style="2" customWidth="1"/>
    <col min="13836" max="13836" width="17.140625" style="2" customWidth="1"/>
    <col min="13837" max="13837" width="0.85546875" style="2" customWidth="1"/>
    <col min="13838" max="13838" width="9.140625" style="2" customWidth="1"/>
    <col min="13839" max="13839" width="43.42578125" style="2" customWidth="1"/>
    <col min="13840" max="13840" width="9.140625" style="2"/>
    <col min="13841" max="13848" width="9.140625" style="2" customWidth="1"/>
    <col min="13849" max="13849" width="8.85546875" style="2" customWidth="1"/>
    <col min="13850" max="13851" width="0" style="2" hidden="1" customWidth="1"/>
    <col min="13852" max="14080" width="9.140625" style="2"/>
    <col min="14081" max="14081" width="1.42578125" style="2" customWidth="1"/>
    <col min="14082" max="14082" width="4.28515625" style="2" customWidth="1"/>
    <col min="14083" max="14083" width="16" style="2" customWidth="1"/>
    <col min="14084" max="14084" width="32.7109375" style="2" customWidth="1"/>
    <col min="14085" max="14091" width="7.7109375" style="2" customWidth="1"/>
    <col min="14092" max="14092" width="17.140625" style="2" customWidth="1"/>
    <col min="14093" max="14093" width="0.85546875" style="2" customWidth="1"/>
    <col min="14094" max="14094" width="9.140625" style="2" customWidth="1"/>
    <col min="14095" max="14095" width="43.42578125" style="2" customWidth="1"/>
    <col min="14096" max="14096" width="9.140625" style="2"/>
    <col min="14097" max="14104" width="9.140625" style="2" customWidth="1"/>
    <col min="14105" max="14105" width="8.85546875" style="2" customWidth="1"/>
    <col min="14106" max="14107" width="0" style="2" hidden="1" customWidth="1"/>
    <col min="14108" max="14336" width="9.140625" style="2"/>
    <col min="14337" max="14337" width="1.42578125" style="2" customWidth="1"/>
    <col min="14338" max="14338" width="4.28515625" style="2" customWidth="1"/>
    <col min="14339" max="14339" width="16" style="2" customWidth="1"/>
    <col min="14340" max="14340" width="32.7109375" style="2" customWidth="1"/>
    <col min="14341" max="14347" width="7.7109375" style="2" customWidth="1"/>
    <col min="14348" max="14348" width="17.140625" style="2" customWidth="1"/>
    <col min="14349" max="14349" width="0.85546875" style="2" customWidth="1"/>
    <col min="14350" max="14350" width="9.140625" style="2" customWidth="1"/>
    <col min="14351" max="14351" width="43.42578125" style="2" customWidth="1"/>
    <col min="14352" max="14352" width="9.140625" style="2"/>
    <col min="14353" max="14360" width="9.140625" style="2" customWidth="1"/>
    <col min="14361" max="14361" width="8.85546875" style="2" customWidth="1"/>
    <col min="14362" max="14363" width="0" style="2" hidden="1" customWidth="1"/>
    <col min="14364" max="14592" width="9.140625" style="2"/>
    <col min="14593" max="14593" width="1.42578125" style="2" customWidth="1"/>
    <col min="14594" max="14594" width="4.28515625" style="2" customWidth="1"/>
    <col min="14595" max="14595" width="16" style="2" customWidth="1"/>
    <col min="14596" max="14596" width="32.7109375" style="2" customWidth="1"/>
    <col min="14597" max="14603" width="7.7109375" style="2" customWidth="1"/>
    <col min="14604" max="14604" width="17.140625" style="2" customWidth="1"/>
    <col min="14605" max="14605" width="0.85546875" style="2" customWidth="1"/>
    <col min="14606" max="14606" width="9.140625" style="2" customWidth="1"/>
    <col min="14607" max="14607" width="43.42578125" style="2" customWidth="1"/>
    <col min="14608" max="14608" width="9.140625" style="2"/>
    <col min="14609" max="14616" width="9.140625" style="2" customWidth="1"/>
    <col min="14617" max="14617" width="8.85546875" style="2" customWidth="1"/>
    <col min="14618" max="14619" width="0" style="2" hidden="1" customWidth="1"/>
    <col min="14620" max="14848" width="9.140625" style="2"/>
    <col min="14849" max="14849" width="1.42578125" style="2" customWidth="1"/>
    <col min="14850" max="14850" width="4.28515625" style="2" customWidth="1"/>
    <col min="14851" max="14851" width="16" style="2" customWidth="1"/>
    <col min="14852" max="14852" width="32.7109375" style="2" customWidth="1"/>
    <col min="14853" max="14859" width="7.7109375" style="2" customWidth="1"/>
    <col min="14860" max="14860" width="17.140625" style="2" customWidth="1"/>
    <col min="14861" max="14861" width="0.85546875" style="2" customWidth="1"/>
    <col min="14862" max="14862" width="9.140625" style="2" customWidth="1"/>
    <col min="14863" max="14863" width="43.42578125" style="2" customWidth="1"/>
    <col min="14864" max="14864" width="9.140625" style="2"/>
    <col min="14865" max="14872" width="9.140625" style="2" customWidth="1"/>
    <col min="14873" max="14873" width="8.85546875" style="2" customWidth="1"/>
    <col min="14874" max="14875" width="0" style="2" hidden="1" customWidth="1"/>
    <col min="14876" max="15104" width="9.140625" style="2"/>
    <col min="15105" max="15105" width="1.42578125" style="2" customWidth="1"/>
    <col min="15106" max="15106" width="4.28515625" style="2" customWidth="1"/>
    <col min="15107" max="15107" width="16" style="2" customWidth="1"/>
    <col min="15108" max="15108" width="32.7109375" style="2" customWidth="1"/>
    <col min="15109" max="15115" width="7.7109375" style="2" customWidth="1"/>
    <col min="15116" max="15116" width="17.140625" style="2" customWidth="1"/>
    <col min="15117" max="15117" width="0.85546875" style="2" customWidth="1"/>
    <col min="15118" max="15118" width="9.140625" style="2" customWidth="1"/>
    <col min="15119" max="15119" width="43.42578125" style="2" customWidth="1"/>
    <col min="15120" max="15120" width="9.140625" style="2"/>
    <col min="15121" max="15128" width="9.140625" style="2" customWidth="1"/>
    <col min="15129" max="15129" width="8.85546875" style="2" customWidth="1"/>
    <col min="15130" max="15131" width="0" style="2" hidden="1" customWidth="1"/>
    <col min="15132" max="15360" width="9.140625" style="2"/>
    <col min="15361" max="15361" width="1.42578125" style="2" customWidth="1"/>
    <col min="15362" max="15362" width="4.28515625" style="2" customWidth="1"/>
    <col min="15363" max="15363" width="16" style="2" customWidth="1"/>
    <col min="15364" max="15364" width="32.7109375" style="2" customWidth="1"/>
    <col min="15365" max="15371" width="7.7109375" style="2" customWidth="1"/>
    <col min="15372" max="15372" width="17.140625" style="2" customWidth="1"/>
    <col min="15373" max="15373" width="0.85546875" style="2" customWidth="1"/>
    <col min="15374" max="15374" width="9.140625" style="2" customWidth="1"/>
    <col min="15375" max="15375" width="43.42578125" style="2" customWidth="1"/>
    <col min="15376" max="15376" width="9.140625" style="2"/>
    <col min="15377" max="15384" width="9.140625" style="2" customWidth="1"/>
    <col min="15385" max="15385" width="8.85546875" style="2" customWidth="1"/>
    <col min="15386" max="15387" width="0" style="2" hidden="1" customWidth="1"/>
    <col min="15388" max="15616" width="9.140625" style="2"/>
    <col min="15617" max="15617" width="1.42578125" style="2" customWidth="1"/>
    <col min="15618" max="15618" width="4.28515625" style="2" customWidth="1"/>
    <col min="15619" max="15619" width="16" style="2" customWidth="1"/>
    <col min="15620" max="15620" width="32.7109375" style="2" customWidth="1"/>
    <col min="15621" max="15627" width="7.7109375" style="2" customWidth="1"/>
    <col min="15628" max="15628" width="17.140625" style="2" customWidth="1"/>
    <col min="15629" max="15629" width="0.85546875" style="2" customWidth="1"/>
    <col min="15630" max="15630" width="9.140625" style="2" customWidth="1"/>
    <col min="15631" max="15631" width="43.42578125" style="2" customWidth="1"/>
    <col min="15632" max="15632" width="9.140625" style="2"/>
    <col min="15633" max="15640" width="9.140625" style="2" customWidth="1"/>
    <col min="15641" max="15641" width="8.85546875" style="2" customWidth="1"/>
    <col min="15642" max="15643" width="0" style="2" hidden="1" customWidth="1"/>
    <col min="15644" max="15872" width="9.140625" style="2"/>
    <col min="15873" max="15873" width="1.42578125" style="2" customWidth="1"/>
    <col min="15874" max="15874" width="4.28515625" style="2" customWidth="1"/>
    <col min="15875" max="15875" width="16" style="2" customWidth="1"/>
    <col min="15876" max="15876" width="32.7109375" style="2" customWidth="1"/>
    <col min="15877" max="15883" width="7.7109375" style="2" customWidth="1"/>
    <col min="15884" max="15884" width="17.140625" style="2" customWidth="1"/>
    <col min="15885" max="15885" width="0.85546875" style="2" customWidth="1"/>
    <col min="15886" max="15886" width="9.140625" style="2" customWidth="1"/>
    <col min="15887" max="15887" width="43.42578125" style="2" customWidth="1"/>
    <col min="15888" max="15888" width="9.140625" style="2"/>
    <col min="15889" max="15896" width="9.140625" style="2" customWidth="1"/>
    <col min="15897" max="15897" width="8.85546875" style="2" customWidth="1"/>
    <col min="15898" max="15899" width="0" style="2" hidden="1" customWidth="1"/>
    <col min="15900" max="16128" width="9.140625" style="2"/>
    <col min="16129" max="16129" width="1.42578125" style="2" customWidth="1"/>
    <col min="16130" max="16130" width="4.28515625" style="2" customWidth="1"/>
    <col min="16131" max="16131" width="16" style="2" customWidth="1"/>
    <col min="16132" max="16132" width="32.7109375" style="2" customWidth="1"/>
    <col min="16133" max="16139" width="7.7109375" style="2" customWidth="1"/>
    <col min="16140" max="16140" width="17.140625" style="2" customWidth="1"/>
    <col min="16141" max="16141" width="0.85546875" style="2" customWidth="1"/>
    <col min="16142" max="16142" width="9.140625" style="2" customWidth="1"/>
    <col min="16143" max="16143" width="43.42578125" style="2" customWidth="1"/>
    <col min="16144" max="16144" width="9.140625" style="2"/>
    <col min="16145" max="16152" width="9.140625" style="2" customWidth="1"/>
    <col min="16153" max="16153" width="8.85546875" style="2" customWidth="1"/>
    <col min="16154" max="16155" width="0" style="2" hidden="1" customWidth="1"/>
    <col min="16156" max="16384" width="9.140625" style="2"/>
  </cols>
  <sheetData>
    <row r="1" spans="1:16" ht="15" x14ac:dyDescent="0.25">
      <c r="A1" s="1"/>
      <c r="B1" s="1"/>
      <c r="H1" s="3"/>
      <c r="I1" s="3"/>
      <c r="J1" s="3"/>
      <c r="K1" s="3"/>
      <c r="L1" s="4"/>
    </row>
    <row r="2" spans="1:16" ht="15.75" x14ac:dyDescent="0.25">
      <c r="A2" s="1"/>
      <c r="B2" s="92" t="s">
        <v>0</v>
      </c>
      <c r="C2" s="92"/>
      <c r="D2" s="5"/>
      <c r="E2" s="5"/>
      <c r="F2" s="92" t="s">
        <v>1</v>
      </c>
      <c r="G2" s="93"/>
      <c r="H2" s="93"/>
      <c r="I2" s="93"/>
      <c r="J2" s="93"/>
      <c r="K2" s="93"/>
      <c r="L2" s="93"/>
    </row>
    <row r="3" spans="1:16" ht="15.75" x14ac:dyDescent="0.25">
      <c r="A3" s="1"/>
      <c r="B3" s="93" t="s">
        <v>202</v>
      </c>
      <c r="C3" s="93"/>
      <c r="D3" s="93"/>
      <c r="E3" s="93"/>
      <c r="F3" s="93" t="s">
        <v>3</v>
      </c>
      <c r="G3" s="93"/>
      <c r="H3" s="93"/>
      <c r="I3" s="93"/>
      <c r="J3" s="93"/>
      <c r="K3" s="93"/>
      <c r="L3" s="93"/>
    </row>
    <row r="4" spans="1:16" ht="15.75" x14ac:dyDescent="0.25">
      <c r="A4" s="1"/>
      <c r="B4" s="6" t="s">
        <v>201</v>
      </c>
      <c r="C4" s="6"/>
      <c r="D4" s="6"/>
      <c r="E4" s="5"/>
      <c r="F4" s="93" t="s">
        <v>200</v>
      </c>
      <c r="G4" s="93"/>
      <c r="H4" s="93"/>
      <c r="I4" s="93"/>
      <c r="J4" s="93"/>
      <c r="K4" s="93"/>
      <c r="L4" s="93"/>
    </row>
    <row r="5" spans="1:16" ht="15.75" x14ac:dyDescent="0.25">
      <c r="A5" s="1"/>
      <c r="B5" s="95"/>
      <c r="C5" s="95"/>
      <c r="D5" s="95"/>
      <c r="E5" s="5"/>
      <c r="F5" s="93" t="s">
        <v>201</v>
      </c>
      <c r="G5" s="93"/>
      <c r="H5" s="93"/>
      <c r="I5" s="93"/>
      <c r="J5" s="93"/>
      <c r="K5" s="93"/>
      <c r="L5" s="93"/>
    </row>
    <row r="6" spans="1:16" ht="15.75" x14ac:dyDescent="0.25">
      <c r="A6" s="1"/>
      <c r="B6" s="6" t="s">
        <v>203</v>
      </c>
      <c r="C6" s="6"/>
      <c r="D6" s="5"/>
      <c r="E6" s="5"/>
      <c r="F6" s="73" t="s">
        <v>6</v>
      </c>
      <c r="G6" s="73"/>
      <c r="H6" s="73" t="s">
        <v>7</v>
      </c>
      <c r="I6" s="73"/>
      <c r="J6" s="73"/>
      <c r="K6" s="73"/>
      <c r="L6" s="73"/>
    </row>
    <row r="7" spans="1:16" ht="15.75" x14ac:dyDescent="0.25">
      <c r="A7" s="1"/>
      <c r="B7" s="2" t="s">
        <v>4</v>
      </c>
      <c r="C7" s="6"/>
      <c r="D7" s="5"/>
      <c r="E7" s="5"/>
      <c r="F7" s="73" t="s">
        <v>4</v>
      </c>
      <c r="G7" s="73"/>
      <c r="H7" s="73"/>
      <c r="I7" s="73"/>
      <c r="J7" s="73"/>
      <c r="K7" s="73"/>
      <c r="L7" s="73"/>
    </row>
    <row r="8" spans="1:16" ht="15.75" x14ac:dyDescent="0.25">
      <c r="A8" s="1"/>
      <c r="B8" s="6"/>
      <c r="C8" s="6"/>
      <c r="D8" s="5"/>
      <c r="E8" s="5"/>
      <c r="K8" s="73"/>
      <c r="L8" s="73"/>
    </row>
    <row r="9" spans="1:16" ht="18" customHeight="1" x14ac:dyDescent="0.25">
      <c r="A9" s="1"/>
      <c r="B9" s="6"/>
      <c r="C9" s="5"/>
      <c r="D9" s="5"/>
      <c r="E9" s="5"/>
      <c r="K9" s="6"/>
      <c r="L9" s="8"/>
    </row>
    <row r="10" spans="1:16" ht="108" customHeight="1" x14ac:dyDescent="0.25">
      <c r="A10" s="1"/>
      <c r="B10" s="1"/>
      <c r="H10" s="3"/>
      <c r="I10" s="3"/>
      <c r="J10" s="3"/>
      <c r="K10" s="3"/>
      <c r="L10" s="4"/>
    </row>
    <row r="11" spans="1:16" ht="20.25" customHeight="1" x14ac:dyDescent="0.3">
      <c r="A11" s="91" t="s">
        <v>8</v>
      </c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"/>
      <c r="N11" s="9"/>
      <c r="O11" s="9"/>
      <c r="P11" s="9"/>
    </row>
    <row r="12" spans="1:16" ht="19.5" customHeight="1" x14ac:dyDescent="0.2">
      <c r="A12" s="10" t="s">
        <v>9</v>
      </c>
      <c r="B12" s="94" t="s">
        <v>10</v>
      </c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"/>
      <c r="N12" s="9"/>
      <c r="O12" s="9"/>
      <c r="P12" s="9"/>
    </row>
    <row r="13" spans="1:16" ht="19.5" customHeight="1" x14ac:dyDescent="0.2">
      <c r="A13" s="11"/>
      <c r="B13" s="94" t="s">
        <v>11</v>
      </c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"/>
      <c r="N13" s="9"/>
      <c r="O13" s="9"/>
      <c r="P13" s="9"/>
    </row>
    <row r="14" spans="1:16" ht="19.5" customHeight="1" x14ac:dyDescent="0.2">
      <c r="A14" s="11"/>
      <c r="B14" s="94" t="s">
        <v>12</v>
      </c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"/>
      <c r="N14" s="9"/>
      <c r="O14" s="9"/>
      <c r="P14" s="9"/>
    </row>
    <row r="15" spans="1:16" ht="19.5" customHeight="1" x14ac:dyDescent="0.2">
      <c r="A15" s="11"/>
      <c r="B15" s="94" t="s">
        <v>13</v>
      </c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"/>
      <c r="N15" s="9"/>
      <c r="O15" s="9"/>
      <c r="P15" s="9"/>
    </row>
    <row r="16" spans="1:16" ht="19.5" customHeight="1" x14ac:dyDescent="0.3">
      <c r="A16" s="12"/>
      <c r="B16" s="91" t="s">
        <v>14</v>
      </c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"/>
      <c r="N16" s="9"/>
      <c r="O16" s="9"/>
      <c r="P16" s="9"/>
    </row>
    <row r="17" spans="1:25" ht="19.5" customHeight="1" x14ac:dyDescent="0.3">
      <c r="A17" s="72"/>
      <c r="B17" s="91" t="s">
        <v>204</v>
      </c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"/>
      <c r="N17" s="9"/>
      <c r="O17" s="9"/>
      <c r="P17" s="9"/>
    </row>
    <row r="18" spans="1:25" ht="7.5" customHeight="1" x14ac:dyDescent="0.2">
      <c r="A18" s="14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14"/>
      <c r="N18" s="9"/>
      <c r="O18" s="9"/>
      <c r="P18" s="9"/>
    </row>
    <row r="19" spans="1:25" ht="2.25" customHeight="1" x14ac:dyDescent="0.3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15"/>
      <c r="M19" s="9"/>
      <c r="N19" s="9"/>
      <c r="O19" s="9"/>
      <c r="P19" s="9"/>
    </row>
    <row r="20" spans="1:25" ht="30.75" customHeight="1" x14ac:dyDescent="0.2">
      <c r="A20" s="16"/>
      <c r="B20" s="97" t="s">
        <v>16</v>
      </c>
      <c r="C20" s="98" t="s">
        <v>17</v>
      </c>
      <c r="D20" s="98" t="s">
        <v>18</v>
      </c>
      <c r="E20" s="101" t="s">
        <v>19</v>
      </c>
      <c r="F20" s="102"/>
      <c r="G20" s="102"/>
      <c r="H20" s="102"/>
      <c r="I20" s="102"/>
      <c r="J20" s="102"/>
      <c r="K20" s="103"/>
      <c r="L20" s="97" t="s">
        <v>20</v>
      </c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spans="1:25" ht="17.25" customHeight="1" x14ac:dyDescent="0.25">
      <c r="A21" s="16"/>
      <c r="B21" s="97"/>
      <c r="C21" s="99"/>
      <c r="D21" s="99"/>
      <c r="E21" s="104" t="s">
        <v>21</v>
      </c>
      <c r="F21" s="105"/>
      <c r="G21" s="105"/>
      <c r="H21" s="106"/>
      <c r="I21" s="110" t="s">
        <v>197</v>
      </c>
      <c r="J21" s="111"/>
      <c r="K21" s="112" t="s">
        <v>22</v>
      </c>
      <c r="L21" s="9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spans="1:25" ht="57.75" customHeight="1" x14ac:dyDescent="0.2">
      <c r="A22" s="16"/>
      <c r="B22" s="97"/>
      <c r="C22" s="99"/>
      <c r="D22" s="99"/>
      <c r="E22" s="107"/>
      <c r="F22" s="108"/>
      <c r="G22" s="108"/>
      <c r="H22" s="109"/>
      <c r="I22" s="115" t="s">
        <v>23</v>
      </c>
      <c r="J22" s="116"/>
      <c r="K22" s="113"/>
      <c r="L22" s="9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spans="1:25" ht="15.75" customHeight="1" x14ac:dyDescent="0.2">
      <c r="A23" s="18"/>
      <c r="B23" s="97"/>
      <c r="C23" s="100"/>
      <c r="D23" s="100"/>
      <c r="E23" s="19" t="s">
        <v>24</v>
      </c>
      <c r="F23" s="20" t="s">
        <v>25</v>
      </c>
      <c r="G23" s="20" t="s">
        <v>26</v>
      </c>
      <c r="H23" s="20" t="s">
        <v>27</v>
      </c>
      <c r="I23" s="20" t="s">
        <v>25</v>
      </c>
      <c r="J23" s="20" t="s">
        <v>26</v>
      </c>
      <c r="K23" s="114"/>
      <c r="L23" s="97"/>
      <c r="P23" s="18"/>
      <c r="Q23" s="17"/>
      <c r="R23" s="17"/>
      <c r="S23" s="17"/>
      <c r="T23" s="17"/>
      <c r="U23" s="17"/>
      <c r="V23" s="17"/>
      <c r="W23" s="17"/>
      <c r="X23" s="17"/>
      <c r="Y23" s="17"/>
    </row>
    <row r="24" spans="1:25" ht="34.5" customHeight="1" x14ac:dyDescent="0.2">
      <c r="A24" s="18"/>
      <c r="B24" s="117" t="s">
        <v>28</v>
      </c>
      <c r="C24" s="118" t="s">
        <v>205</v>
      </c>
      <c r="D24" s="21" t="s">
        <v>206</v>
      </c>
      <c r="E24" s="22">
        <v>1.08</v>
      </c>
      <c r="F24" s="23">
        <v>1.08</v>
      </c>
      <c r="G24" s="23">
        <v>1.08</v>
      </c>
      <c r="H24" s="23">
        <v>1.08</v>
      </c>
      <c r="I24" s="23">
        <v>1.08</v>
      </c>
      <c r="J24" s="23">
        <v>1.08</v>
      </c>
      <c r="K24" s="23">
        <v>1.08</v>
      </c>
      <c r="L24" s="23" t="s">
        <v>278</v>
      </c>
      <c r="P24" s="18"/>
      <c r="Q24" s="24"/>
      <c r="R24" s="24"/>
      <c r="S24" s="24"/>
      <c r="T24" s="17"/>
      <c r="U24" s="24"/>
      <c r="V24" s="17"/>
      <c r="W24" s="17"/>
      <c r="X24" s="17"/>
      <c r="Y24" s="17"/>
    </row>
    <row r="25" spans="1:25" ht="15.75" customHeight="1" x14ac:dyDescent="0.2">
      <c r="A25" s="18"/>
      <c r="B25" s="117"/>
      <c r="C25" s="119"/>
      <c r="D25" s="25" t="s">
        <v>207</v>
      </c>
      <c r="E25" s="26">
        <v>7</v>
      </c>
      <c r="F25" s="26">
        <v>7</v>
      </c>
      <c r="G25" s="26">
        <v>7</v>
      </c>
      <c r="H25" s="26">
        <v>7</v>
      </c>
      <c r="I25" s="26">
        <v>7</v>
      </c>
      <c r="J25" s="26">
        <v>7</v>
      </c>
      <c r="K25" s="27">
        <v>7</v>
      </c>
      <c r="L25" s="23" t="s">
        <v>279</v>
      </c>
      <c r="P25" s="28"/>
      <c r="Q25" s="24"/>
      <c r="R25" s="24"/>
      <c r="S25" s="24"/>
      <c r="T25" s="17"/>
      <c r="U25" s="24"/>
      <c r="V25" s="17"/>
      <c r="W25" s="17"/>
      <c r="X25" s="17"/>
      <c r="Y25" s="17"/>
    </row>
    <row r="26" spans="1:25" ht="32.25" customHeight="1" x14ac:dyDescent="0.2">
      <c r="A26" s="18"/>
      <c r="B26" s="117"/>
      <c r="C26" s="119"/>
      <c r="D26" s="25" t="s">
        <v>208</v>
      </c>
      <c r="E26" s="26">
        <v>11.88</v>
      </c>
      <c r="F26" s="26">
        <v>11.88</v>
      </c>
      <c r="G26" s="26">
        <v>11.88</v>
      </c>
      <c r="H26" s="26">
        <v>11.88</v>
      </c>
      <c r="I26" s="26">
        <v>11.88</v>
      </c>
      <c r="J26" s="26">
        <v>11.88</v>
      </c>
      <c r="K26" s="26">
        <v>11.88</v>
      </c>
      <c r="L26" s="23" t="s">
        <v>280</v>
      </c>
      <c r="P26" s="17"/>
      <c r="Q26" s="29"/>
      <c r="R26" s="17"/>
      <c r="S26" s="17"/>
      <c r="T26" s="17"/>
      <c r="U26" s="17"/>
      <c r="V26" s="17"/>
      <c r="W26" s="17"/>
      <c r="X26" s="17"/>
      <c r="Y26" s="17"/>
    </row>
    <row r="27" spans="1:25" ht="30.75" customHeight="1" x14ac:dyDescent="0.2">
      <c r="A27" s="18"/>
      <c r="B27" s="117"/>
      <c r="C27" s="119"/>
      <c r="D27" s="25" t="s">
        <v>209</v>
      </c>
      <c r="E27" s="26">
        <v>10</v>
      </c>
      <c r="F27" s="26">
        <v>10</v>
      </c>
      <c r="G27" s="26">
        <v>8</v>
      </c>
      <c r="H27" s="26">
        <v>6</v>
      </c>
      <c r="I27" s="26">
        <v>10</v>
      </c>
      <c r="J27" s="26">
        <v>10</v>
      </c>
      <c r="K27" s="27">
        <v>10</v>
      </c>
      <c r="L27" s="23" t="s">
        <v>37</v>
      </c>
      <c r="P27" s="17"/>
      <c r="Q27" s="24"/>
      <c r="R27" s="17"/>
      <c r="S27" s="17"/>
      <c r="T27" s="17"/>
      <c r="U27" s="17"/>
      <c r="V27" s="17"/>
      <c r="W27" s="17"/>
      <c r="X27" s="17"/>
      <c r="Y27" s="17"/>
    </row>
    <row r="28" spans="1:25" ht="33.75" customHeight="1" x14ac:dyDescent="0.2">
      <c r="A28" s="18"/>
      <c r="B28" s="117"/>
      <c r="C28" s="119"/>
      <c r="D28" s="25" t="s">
        <v>210</v>
      </c>
      <c r="E28" s="26">
        <v>43</v>
      </c>
      <c r="F28" s="26">
        <v>34</v>
      </c>
      <c r="G28" s="26">
        <v>26</v>
      </c>
      <c r="H28" s="26">
        <v>17</v>
      </c>
      <c r="I28" s="26">
        <v>34</v>
      </c>
      <c r="J28" s="26">
        <v>26</v>
      </c>
      <c r="K28" s="27">
        <v>42</v>
      </c>
      <c r="L28" s="23" t="s">
        <v>281</v>
      </c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spans="1:25" ht="33.75" customHeight="1" x14ac:dyDescent="0.2">
      <c r="A29" s="18"/>
      <c r="B29" s="117"/>
      <c r="C29" s="119"/>
      <c r="D29" s="25" t="s">
        <v>211</v>
      </c>
      <c r="E29" s="26">
        <v>2</v>
      </c>
      <c r="F29" s="26">
        <v>2</v>
      </c>
      <c r="G29" s="26">
        <v>2</v>
      </c>
      <c r="H29" s="26">
        <v>2</v>
      </c>
      <c r="I29" s="26">
        <v>2</v>
      </c>
      <c r="J29" s="26">
        <v>2</v>
      </c>
      <c r="K29" s="26">
        <v>2</v>
      </c>
      <c r="L29" s="23" t="s">
        <v>299</v>
      </c>
      <c r="P29" s="17"/>
      <c r="Q29" s="24"/>
      <c r="R29" s="17"/>
      <c r="S29" s="17"/>
      <c r="T29" s="17"/>
      <c r="U29" s="17"/>
      <c r="V29" s="17"/>
      <c r="W29" s="17"/>
      <c r="X29" s="17"/>
      <c r="Y29" s="17"/>
    </row>
    <row r="30" spans="1:25" ht="46.5" customHeight="1" x14ac:dyDescent="0.2">
      <c r="A30" s="18"/>
      <c r="B30" s="117"/>
      <c r="C30" s="119"/>
      <c r="D30" s="25" t="s">
        <v>39</v>
      </c>
      <c r="E30" s="26">
        <v>4</v>
      </c>
      <c r="F30" s="26">
        <v>4</v>
      </c>
      <c r="G30" s="26">
        <v>4</v>
      </c>
      <c r="H30" s="26">
        <v>4</v>
      </c>
      <c r="I30" s="26"/>
      <c r="J30" s="26"/>
      <c r="K30" s="27"/>
      <c r="L30" s="23" t="s">
        <v>283</v>
      </c>
      <c r="P30" s="17"/>
      <c r="Q30" s="24"/>
      <c r="R30" s="17"/>
      <c r="S30" s="17"/>
      <c r="T30" s="17"/>
      <c r="U30" s="17"/>
      <c r="V30" s="17"/>
      <c r="W30" s="17"/>
      <c r="X30" s="17"/>
      <c r="Y30" s="17"/>
    </row>
    <row r="31" spans="1:25" ht="48" customHeight="1" x14ac:dyDescent="0.2">
      <c r="A31" s="18"/>
      <c r="B31" s="117"/>
      <c r="C31" s="119"/>
      <c r="D31" s="25" t="s">
        <v>212</v>
      </c>
      <c r="E31" s="26">
        <v>35</v>
      </c>
      <c r="F31" s="26">
        <v>35</v>
      </c>
      <c r="G31" s="26">
        <v>35</v>
      </c>
      <c r="H31" s="26">
        <v>35</v>
      </c>
      <c r="I31" s="26">
        <v>35</v>
      </c>
      <c r="J31" s="26">
        <v>35</v>
      </c>
      <c r="K31" s="26">
        <v>35</v>
      </c>
      <c r="L31" s="23" t="s">
        <v>37</v>
      </c>
      <c r="P31" s="17"/>
      <c r="Q31" s="24"/>
      <c r="R31" s="17"/>
      <c r="S31" s="17"/>
      <c r="T31" s="17"/>
      <c r="U31" s="17"/>
      <c r="V31" s="17"/>
      <c r="W31" s="17"/>
      <c r="X31" s="17"/>
      <c r="Y31" s="17"/>
    </row>
    <row r="32" spans="1:25" ht="32.25" customHeight="1" x14ac:dyDescent="0.2">
      <c r="A32" s="18"/>
      <c r="B32" s="117"/>
      <c r="C32" s="119"/>
      <c r="D32" s="30" t="s">
        <v>78</v>
      </c>
      <c r="E32" s="39">
        <f>SUM(E24:E31)</f>
        <v>113.96000000000001</v>
      </c>
      <c r="F32" s="39">
        <f t="shared" ref="F32:K32" si="0">SUM(F24:F31)</f>
        <v>104.96000000000001</v>
      </c>
      <c r="G32" s="39">
        <f t="shared" si="0"/>
        <v>94.960000000000008</v>
      </c>
      <c r="H32" s="39">
        <f t="shared" si="0"/>
        <v>83.960000000000008</v>
      </c>
      <c r="I32" s="39">
        <f t="shared" si="0"/>
        <v>100.96000000000001</v>
      </c>
      <c r="J32" s="39">
        <f t="shared" si="0"/>
        <v>92.960000000000008</v>
      </c>
      <c r="K32" s="39">
        <f t="shared" si="0"/>
        <v>108.96000000000001</v>
      </c>
      <c r="L32" s="23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spans="1:12" ht="6" customHeight="1" x14ac:dyDescent="0.2">
      <c r="A33" s="18"/>
      <c r="B33" s="74"/>
      <c r="C33" s="74"/>
      <c r="D33" s="35"/>
      <c r="E33" s="36"/>
      <c r="F33" s="36"/>
      <c r="G33" s="36"/>
      <c r="H33" s="36"/>
      <c r="I33" s="36"/>
      <c r="J33" s="36"/>
      <c r="K33" s="37"/>
      <c r="L33" s="33"/>
    </row>
    <row r="34" spans="1:12" ht="30.75" customHeight="1" x14ac:dyDescent="0.2">
      <c r="A34" s="18"/>
      <c r="B34" s="118" t="s">
        <v>42</v>
      </c>
      <c r="C34" s="118" t="s">
        <v>213</v>
      </c>
      <c r="D34" s="38" t="s">
        <v>214</v>
      </c>
      <c r="E34" s="80">
        <v>1.08</v>
      </c>
      <c r="F34" s="80">
        <v>1.08</v>
      </c>
      <c r="G34" s="80">
        <v>1.08</v>
      </c>
      <c r="H34" s="80">
        <v>1.08</v>
      </c>
      <c r="I34" s="80">
        <v>1.08</v>
      </c>
      <c r="J34" s="80">
        <v>1.08</v>
      </c>
      <c r="K34" s="80">
        <v>1.08</v>
      </c>
      <c r="L34" s="23" t="s">
        <v>273</v>
      </c>
    </row>
    <row r="35" spans="1:12" ht="15.75" x14ac:dyDescent="0.2">
      <c r="A35" s="18"/>
      <c r="B35" s="119"/>
      <c r="C35" s="119"/>
      <c r="D35" s="38" t="s">
        <v>45</v>
      </c>
      <c r="E35" s="26">
        <v>7</v>
      </c>
      <c r="F35" s="26">
        <v>7</v>
      </c>
      <c r="G35" s="26">
        <v>7</v>
      </c>
      <c r="H35" s="26">
        <v>7</v>
      </c>
      <c r="I35" s="26">
        <v>7</v>
      </c>
      <c r="J35" s="26">
        <v>7</v>
      </c>
      <c r="K35" s="26">
        <v>7</v>
      </c>
      <c r="L35" s="23" t="s">
        <v>285</v>
      </c>
    </row>
    <row r="36" spans="1:12" ht="31.5" customHeight="1" x14ac:dyDescent="0.2">
      <c r="A36" s="18"/>
      <c r="B36" s="119"/>
      <c r="C36" s="119"/>
      <c r="D36" s="38" t="s">
        <v>215</v>
      </c>
      <c r="E36" s="26">
        <v>4.2</v>
      </c>
      <c r="F36" s="26">
        <v>4.2</v>
      </c>
      <c r="G36" s="26">
        <v>4.2</v>
      </c>
      <c r="H36" s="26">
        <v>4.2</v>
      </c>
      <c r="I36" s="26">
        <v>4.2</v>
      </c>
      <c r="J36" s="26">
        <v>4.2</v>
      </c>
      <c r="K36" s="26">
        <v>4.2</v>
      </c>
      <c r="L36" s="23" t="s">
        <v>273</v>
      </c>
    </row>
    <row r="37" spans="1:12" ht="47.25" x14ac:dyDescent="0.2">
      <c r="A37" s="18"/>
      <c r="B37" s="119"/>
      <c r="C37" s="119"/>
      <c r="D37" s="25" t="s">
        <v>216</v>
      </c>
      <c r="E37" s="26">
        <v>16</v>
      </c>
      <c r="F37" s="26">
        <v>13</v>
      </c>
      <c r="G37" s="26">
        <v>10</v>
      </c>
      <c r="H37" s="26">
        <v>8</v>
      </c>
      <c r="I37" s="26">
        <v>13</v>
      </c>
      <c r="J37" s="26">
        <v>10</v>
      </c>
      <c r="K37" s="27">
        <v>20</v>
      </c>
      <c r="L37" s="23" t="s">
        <v>286</v>
      </c>
    </row>
    <row r="38" spans="1:12" ht="34.5" customHeight="1" x14ac:dyDescent="0.2">
      <c r="A38" s="18"/>
      <c r="B38" s="119"/>
      <c r="C38" s="119"/>
      <c r="D38" s="38" t="s">
        <v>217</v>
      </c>
      <c r="E38" s="26">
        <v>2</v>
      </c>
      <c r="F38" s="26">
        <v>2</v>
      </c>
      <c r="G38" s="26">
        <v>2</v>
      </c>
      <c r="H38" s="26">
        <v>2</v>
      </c>
      <c r="I38" s="26">
        <v>2</v>
      </c>
      <c r="J38" s="26">
        <v>2</v>
      </c>
      <c r="K38" s="27">
        <v>2</v>
      </c>
      <c r="L38" s="23" t="s">
        <v>282</v>
      </c>
    </row>
    <row r="39" spans="1:12" ht="31.5" customHeight="1" x14ac:dyDescent="0.2">
      <c r="A39" s="18"/>
      <c r="B39" s="119"/>
      <c r="C39" s="119"/>
      <c r="D39" s="38" t="s">
        <v>218</v>
      </c>
      <c r="E39" s="26">
        <v>4</v>
      </c>
      <c r="F39" s="26">
        <v>4</v>
      </c>
      <c r="G39" s="26">
        <v>4</v>
      </c>
      <c r="H39" s="26">
        <v>4</v>
      </c>
      <c r="I39" s="26"/>
      <c r="J39" s="26"/>
      <c r="K39" s="27"/>
      <c r="L39" s="23" t="s">
        <v>287</v>
      </c>
    </row>
    <row r="40" spans="1:12" ht="31.5" x14ac:dyDescent="0.2">
      <c r="A40" s="18"/>
      <c r="B40" s="119"/>
      <c r="C40" s="119"/>
      <c r="D40" s="42" t="s">
        <v>53</v>
      </c>
      <c r="E40" s="39">
        <f>SUM(E34:E39)</f>
        <v>34.28</v>
      </c>
      <c r="F40" s="39">
        <f t="shared" ref="F40:K40" si="1">SUM(F34:F39)</f>
        <v>31.28</v>
      </c>
      <c r="G40" s="39">
        <f t="shared" si="1"/>
        <v>28.28</v>
      </c>
      <c r="H40" s="39">
        <f t="shared" si="1"/>
        <v>26.28</v>
      </c>
      <c r="I40" s="39">
        <f t="shared" si="1"/>
        <v>27.28</v>
      </c>
      <c r="J40" s="39">
        <f t="shared" si="1"/>
        <v>24.28</v>
      </c>
      <c r="K40" s="39">
        <f t="shared" si="1"/>
        <v>34.28</v>
      </c>
      <c r="L40" s="23"/>
    </row>
    <row r="41" spans="1:12" ht="15.75" x14ac:dyDescent="0.2">
      <c r="A41" s="18"/>
      <c r="B41" s="120"/>
      <c r="C41" s="120"/>
      <c r="D41" s="42" t="s">
        <v>322</v>
      </c>
      <c r="E41" s="39"/>
      <c r="F41" s="39"/>
      <c r="G41" s="39"/>
      <c r="H41" s="39"/>
      <c r="I41" s="39"/>
      <c r="J41" s="39"/>
      <c r="K41" s="39"/>
      <c r="L41" s="23" t="s">
        <v>323</v>
      </c>
    </row>
    <row r="42" spans="1:12" ht="6" customHeight="1" x14ac:dyDescent="0.2">
      <c r="A42" s="28"/>
      <c r="B42" s="74"/>
      <c r="C42" s="74"/>
      <c r="D42" s="43"/>
      <c r="E42" s="36"/>
      <c r="F42" s="36"/>
      <c r="G42" s="36"/>
      <c r="H42" s="36"/>
      <c r="I42" s="36"/>
      <c r="J42" s="36"/>
      <c r="K42" s="36"/>
      <c r="L42" s="33"/>
    </row>
    <row r="43" spans="1:12" ht="33.75" customHeight="1" x14ac:dyDescent="0.2">
      <c r="A43" s="28"/>
      <c r="B43" s="118" t="s">
        <v>54</v>
      </c>
      <c r="C43" s="118" t="s">
        <v>219</v>
      </c>
      <c r="D43" s="44" t="s">
        <v>220</v>
      </c>
      <c r="E43" s="26">
        <v>1.08</v>
      </c>
      <c r="F43" s="26">
        <v>1.08</v>
      </c>
      <c r="G43" s="26">
        <v>1.08</v>
      </c>
      <c r="H43" s="26">
        <v>1.08</v>
      </c>
      <c r="I43" s="26">
        <v>1.08</v>
      </c>
      <c r="J43" s="26">
        <v>1.08</v>
      </c>
      <c r="K43" s="27">
        <v>1.08</v>
      </c>
      <c r="L43" s="23" t="s">
        <v>273</v>
      </c>
    </row>
    <row r="44" spans="1:12" ht="13.5" customHeight="1" x14ac:dyDescent="0.2">
      <c r="A44" s="28"/>
      <c r="B44" s="119"/>
      <c r="C44" s="119"/>
      <c r="D44" s="38" t="s">
        <v>57</v>
      </c>
      <c r="E44" s="26">
        <v>7</v>
      </c>
      <c r="F44" s="26">
        <v>7</v>
      </c>
      <c r="G44" s="26">
        <v>7</v>
      </c>
      <c r="H44" s="26">
        <v>7</v>
      </c>
      <c r="I44" s="26">
        <v>7</v>
      </c>
      <c r="J44" s="26">
        <v>7</v>
      </c>
      <c r="K44" s="27">
        <v>7</v>
      </c>
      <c r="L44" s="23" t="s">
        <v>279</v>
      </c>
    </row>
    <row r="45" spans="1:12" ht="33" customHeight="1" x14ac:dyDescent="0.2">
      <c r="A45" s="28"/>
      <c r="B45" s="119"/>
      <c r="C45" s="119"/>
      <c r="D45" s="44" t="s">
        <v>221</v>
      </c>
      <c r="E45" s="26">
        <v>5.2</v>
      </c>
      <c r="F45" s="26">
        <v>5.2</v>
      </c>
      <c r="G45" s="26">
        <v>5.2</v>
      </c>
      <c r="H45" s="26">
        <v>5.2</v>
      </c>
      <c r="I45" s="26">
        <v>5.2</v>
      </c>
      <c r="J45" s="26">
        <v>5.2</v>
      </c>
      <c r="K45" s="26">
        <v>5.2</v>
      </c>
      <c r="L45" s="23" t="s">
        <v>273</v>
      </c>
    </row>
    <row r="46" spans="1:12" ht="45.75" customHeight="1" x14ac:dyDescent="0.2">
      <c r="A46" s="28"/>
      <c r="B46" s="119"/>
      <c r="C46" s="119"/>
      <c r="D46" s="44" t="s">
        <v>222</v>
      </c>
      <c r="E46" s="26">
        <v>16</v>
      </c>
      <c r="F46" s="26">
        <v>13</v>
      </c>
      <c r="G46" s="26">
        <v>10</v>
      </c>
      <c r="H46" s="26">
        <v>8</v>
      </c>
      <c r="I46" s="26">
        <v>13</v>
      </c>
      <c r="J46" s="26">
        <v>10</v>
      </c>
      <c r="K46" s="26">
        <v>20</v>
      </c>
      <c r="L46" s="23" t="s">
        <v>286</v>
      </c>
    </row>
    <row r="47" spans="1:12" ht="32.25" customHeight="1" x14ac:dyDescent="0.2">
      <c r="A47" s="28"/>
      <c r="B47" s="119"/>
      <c r="C47" s="119"/>
      <c r="D47" s="44" t="s">
        <v>223</v>
      </c>
      <c r="E47" s="26">
        <v>2</v>
      </c>
      <c r="F47" s="26">
        <v>2</v>
      </c>
      <c r="G47" s="26">
        <v>2</v>
      </c>
      <c r="H47" s="26">
        <v>2</v>
      </c>
      <c r="I47" s="26">
        <v>2</v>
      </c>
      <c r="J47" s="26">
        <v>2</v>
      </c>
      <c r="K47" s="27">
        <v>2</v>
      </c>
      <c r="L47" s="23" t="s">
        <v>282</v>
      </c>
    </row>
    <row r="48" spans="1:12" ht="47.25" x14ac:dyDescent="0.2">
      <c r="A48" s="28"/>
      <c r="B48" s="119"/>
      <c r="C48" s="119"/>
      <c r="D48" s="44" t="s">
        <v>224</v>
      </c>
      <c r="E48" s="26">
        <v>4</v>
      </c>
      <c r="F48" s="26">
        <v>4</v>
      </c>
      <c r="G48" s="26">
        <v>4</v>
      </c>
      <c r="H48" s="26">
        <v>4</v>
      </c>
      <c r="I48" s="26"/>
      <c r="J48" s="26"/>
      <c r="K48" s="27"/>
      <c r="L48" s="23" t="s">
        <v>287</v>
      </c>
    </row>
    <row r="49" spans="1:12" ht="37.5" customHeight="1" x14ac:dyDescent="0.2">
      <c r="A49" s="28"/>
      <c r="B49" s="119"/>
      <c r="C49" s="119"/>
      <c r="D49" s="42" t="s">
        <v>53</v>
      </c>
      <c r="E49" s="39">
        <f>SUM(E43:E48)</f>
        <v>35.28</v>
      </c>
      <c r="F49" s="39">
        <f t="shared" ref="F49:K49" si="2">SUM(F43:F48)</f>
        <v>32.28</v>
      </c>
      <c r="G49" s="39">
        <f t="shared" si="2"/>
        <v>29.28</v>
      </c>
      <c r="H49" s="39">
        <f t="shared" si="2"/>
        <v>27.28</v>
      </c>
      <c r="I49" s="39">
        <f t="shared" si="2"/>
        <v>28.28</v>
      </c>
      <c r="J49" s="39">
        <f t="shared" si="2"/>
        <v>25.28</v>
      </c>
      <c r="K49" s="39">
        <f t="shared" si="2"/>
        <v>35.28</v>
      </c>
      <c r="L49" s="23"/>
    </row>
    <row r="50" spans="1:12" ht="17.25" customHeight="1" x14ac:dyDescent="0.2">
      <c r="A50" s="28"/>
      <c r="B50" s="120"/>
      <c r="C50" s="120"/>
      <c r="D50" s="42" t="s">
        <v>322</v>
      </c>
      <c r="E50" s="39"/>
      <c r="F50" s="39"/>
      <c r="G50" s="39"/>
      <c r="H50" s="39"/>
      <c r="I50" s="39"/>
      <c r="J50" s="39"/>
      <c r="K50" s="40"/>
      <c r="L50" s="23" t="s">
        <v>323</v>
      </c>
    </row>
    <row r="51" spans="1:12" ht="6.75" customHeight="1" x14ac:dyDescent="0.2">
      <c r="A51" s="28"/>
      <c r="B51" s="74"/>
      <c r="C51" s="75"/>
      <c r="D51" s="46"/>
      <c r="E51" s="36"/>
      <c r="F51" s="36"/>
      <c r="G51" s="36"/>
      <c r="H51" s="36"/>
      <c r="I51" s="36"/>
      <c r="J51" s="36"/>
      <c r="K51" s="37"/>
      <c r="L51" s="33"/>
    </row>
    <row r="52" spans="1:12" ht="81" customHeight="1" x14ac:dyDescent="0.2">
      <c r="A52" s="28"/>
      <c r="B52" s="117">
        <v>4</v>
      </c>
      <c r="C52" s="117" t="s">
        <v>228</v>
      </c>
      <c r="D52" s="44" t="s">
        <v>229</v>
      </c>
      <c r="E52" s="26">
        <v>35</v>
      </c>
      <c r="F52" s="26">
        <v>35</v>
      </c>
      <c r="G52" s="26">
        <v>35</v>
      </c>
      <c r="H52" s="26">
        <v>35</v>
      </c>
      <c r="I52" s="26">
        <v>35</v>
      </c>
      <c r="J52" s="26">
        <v>35</v>
      </c>
      <c r="K52" s="26">
        <v>35</v>
      </c>
      <c r="L52" s="23" t="s">
        <v>37</v>
      </c>
    </row>
    <row r="53" spans="1:12" ht="30.75" customHeight="1" x14ac:dyDescent="0.2">
      <c r="A53" s="28"/>
      <c r="B53" s="117"/>
      <c r="C53" s="117"/>
      <c r="D53" s="38" t="s">
        <v>230</v>
      </c>
      <c r="E53" s="26">
        <v>72</v>
      </c>
      <c r="F53" s="26">
        <v>57</v>
      </c>
      <c r="G53" s="26">
        <v>42</v>
      </c>
      <c r="H53" s="26">
        <v>28</v>
      </c>
      <c r="I53" s="26">
        <v>57</v>
      </c>
      <c r="J53" s="26">
        <v>42</v>
      </c>
      <c r="K53" s="27">
        <v>57</v>
      </c>
      <c r="L53" s="82" t="s">
        <v>225</v>
      </c>
    </row>
    <row r="54" spans="1:12" ht="30" customHeight="1" x14ac:dyDescent="0.2">
      <c r="A54" s="28"/>
      <c r="B54" s="117"/>
      <c r="C54" s="117"/>
      <c r="D54" s="44" t="s">
        <v>231</v>
      </c>
      <c r="E54" s="26">
        <v>25</v>
      </c>
      <c r="F54" s="26">
        <v>20</v>
      </c>
      <c r="G54" s="26">
        <v>15</v>
      </c>
      <c r="H54" s="26">
        <v>10</v>
      </c>
      <c r="I54" s="26">
        <v>20</v>
      </c>
      <c r="J54" s="26">
        <v>15</v>
      </c>
      <c r="K54" s="27">
        <v>28</v>
      </c>
      <c r="L54" s="23" t="s">
        <v>272</v>
      </c>
    </row>
    <row r="55" spans="1:12" ht="31.5" customHeight="1" x14ac:dyDescent="0.2">
      <c r="A55" s="28"/>
      <c r="B55" s="117"/>
      <c r="C55" s="117"/>
      <c r="D55" s="44" t="s">
        <v>232</v>
      </c>
      <c r="E55" s="26">
        <v>10</v>
      </c>
      <c r="F55" s="26">
        <v>10</v>
      </c>
      <c r="G55" s="26">
        <v>8</v>
      </c>
      <c r="H55" s="26">
        <v>6</v>
      </c>
      <c r="I55" s="26">
        <v>10</v>
      </c>
      <c r="J55" s="26">
        <v>10</v>
      </c>
      <c r="K55" s="27">
        <v>10</v>
      </c>
      <c r="L55" s="23" t="s">
        <v>37</v>
      </c>
    </row>
    <row r="56" spans="1:12" ht="31.5" x14ac:dyDescent="0.2">
      <c r="A56" s="28"/>
      <c r="B56" s="117"/>
      <c r="C56" s="117"/>
      <c r="D56" s="44" t="s">
        <v>233</v>
      </c>
      <c r="E56" s="26">
        <v>1</v>
      </c>
      <c r="F56" s="26">
        <v>1</v>
      </c>
      <c r="G56" s="26">
        <v>1</v>
      </c>
      <c r="H56" s="26">
        <v>1</v>
      </c>
      <c r="I56" s="26">
        <v>1</v>
      </c>
      <c r="J56" s="26">
        <v>1</v>
      </c>
      <c r="K56" s="26">
        <v>1</v>
      </c>
      <c r="L56" s="23" t="s">
        <v>291</v>
      </c>
    </row>
    <row r="57" spans="1:12" ht="31.5" x14ac:dyDescent="0.2">
      <c r="A57" s="28"/>
      <c r="B57" s="117"/>
      <c r="C57" s="117"/>
      <c r="D57" s="44" t="s">
        <v>234</v>
      </c>
      <c r="E57" s="80">
        <v>11.04</v>
      </c>
      <c r="F57" s="80">
        <v>11.04</v>
      </c>
      <c r="G57" s="80">
        <v>11.04</v>
      </c>
      <c r="H57" s="80">
        <v>11.04</v>
      </c>
      <c r="I57" s="80">
        <v>11.04</v>
      </c>
      <c r="J57" s="80">
        <v>11.04</v>
      </c>
      <c r="K57" s="80">
        <v>11.04</v>
      </c>
      <c r="L57" s="23" t="s">
        <v>273</v>
      </c>
    </row>
    <row r="58" spans="1:12" ht="66" customHeight="1" x14ac:dyDescent="0.2">
      <c r="A58" s="28"/>
      <c r="B58" s="117"/>
      <c r="C58" s="117"/>
      <c r="D58" s="47" t="s">
        <v>227</v>
      </c>
      <c r="E58" s="39">
        <f>SUM(E52:E57)</f>
        <v>154.04</v>
      </c>
      <c r="F58" s="39">
        <f t="shared" ref="F58:K58" si="3">SUM(F52:F57)</f>
        <v>134.04</v>
      </c>
      <c r="G58" s="39">
        <f t="shared" si="3"/>
        <v>112.03999999999999</v>
      </c>
      <c r="H58" s="39">
        <f t="shared" si="3"/>
        <v>91.039999999999992</v>
      </c>
      <c r="I58" s="39">
        <f t="shared" si="3"/>
        <v>134.04</v>
      </c>
      <c r="J58" s="39">
        <f t="shared" si="3"/>
        <v>114.03999999999999</v>
      </c>
      <c r="K58" s="39">
        <f t="shared" si="3"/>
        <v>142.04</v>
      </c>
      <c r="L58" s="23"/>
    </row>
    <row r="59" spans="1:12" ht="6.75" customHeight="1" x14ac:dyDescent="0.2">
      <c r="A59" s="28"/>
      <c r="B59" s="74"/>
      <c r="C59" s="75"/>
      <c r="D59" s="46"/>
      <c r="E59" s="36"/>
      <c r="F59" s="36"/>
      <c r="G59" s="36"/>
      <c r="H59" s="36"/>
      <c r="I59" s="36"/>
      <c r="J59" s="36"/>
      <c r="K59" s="37"/>
      <c r="L59" s="33"/>
    </row>
    <row r="60" spans="1:12" ht="48" customHeight="1" x14ac:dyDescent="0.2">
      <c r="A60" s="28"/>
      <c r="B60" s="117">
        <v>5</v>
      </c>
      <c r="C60" s="118" t="s">
        <v>235</v>
      </c>
      <c r="D60" s="38" t="s">
        <v>236</v>
      </c>
      <c r="E60" s="26">
        <v>16</v>
      </c>
      <c r="F60" s="26">
        <v>13</v>
      </c>
      <c r="G60" s="26">
        <v>10</v>
      </c>
      <c r="H60" s="26">
        <v>8</v>
      </c>
      <c r="I60" s="26">
        <v>13</v>
      </c>
      <c r="J60" s="26">
        <v>10</v>
      </c>
      <c r="K60" s="27">
        <v>20</v>
      </c>
      <c r="L60" s="23" t="s">
        <v>286</v>
      </c>
    </row>
    <row r="61" spans="1:12" ht="33" customHeight="1" x14ac:dyDescent="0.2">
      <c r="A61" s="28"/>
      <c r="B61" s="117"/>
      <c r="C61" s="119"/>
      <c r="D61" s="38" t="s">
        <v>226</v>
      </c>
      <c r="E61" s="26">
        <v>1</v>
      </c>
      <c r="F61" s="26">
        <v>1</v>
      </c>
      <c r="G61" s="26">
        <v>1</v>
      </c>
      <c r="H61" s="26">
        <v>1</v>
      </c>
      <c r="I61" s="26">
        <v>1</v>
      </c>
      <c r="J61" s="26">
        <v>1</v>
      </c>
      <c r="K61" s="26">
        <v>1</v>
      </c>
      <c r="L61" s="23" t="s">
        <v>291</v>
      </c>
    </row>
    <row r="62" spans="1:12" ht="31.5" x14ac:dyDescent="0.2">
      <c r="A62" s="28"/>
      <c r="B62" s="117"/>
      <c r="C62" s="119"/>
      <c r="D62" s="38" t="s">
        <v>374</v>
      </c>
      <c r="E62" s="26">
        <v>4.2</v>
      </c>
      <c r="F62" s="26">
        <v>4.2</v>
      </c>
      <c r="G62" s="26">
        <v>4.2</v>
      </c>
      <c r="H62" s="26">
        <v>4.2</v>
      </c>
      <c r="I62" s="26">
        <v>4.2</v>
      </c>
      <c r="J62" s="26">
        <v>4.2</v>
      </c>
      <c r="K62" s="26">
        <v>4.2</v>
      </c>
      <c r="L62" s="23" t="s">
        <v>273</v>
      </c>
    </row>
    <row r="63" spans="1:12" ht="31.5" x14ac:dyDescent="0.2">
      <c r="A63" s="28"/>
      <c r="B63" s="117"/>
      <c r="C63" s="119"/>
      <c r="D63" s="42" t="s">
        <v>130</v>
      </c>
      <c r="E63" s="39">
        <f>SUM(E60:E62)</f>
        <v>21.2</v>
      </c>
      <c r="F63" s="39">
        <f t="shared" ref="F63:K63" si="4">SUM(F60:F62)</f>
        <v>18.2</v>
      </c>
      <c r="G63" s="39">
        <f t="shared" si="4"/>
        <v>15.2</v>
      </c>
      <c r="H63" s="39">
        <f t="shared" si="4"/>
        <v>13.2</v>
      </c>
      <c r="I63" s="39">
        <f t="shared" si="4"/>
        <v>18.2</v>
      </c>
      <c r="J63" s="39">
        <f t="shared" si="4"/>
        <v>15.2</v>
      </c>
      <c r="K63" s="39">
        <f t="shared" si="4"/>
        <v>25.2</v>
      </c>
      <c r="L63" s="23"/>
    </row>
    <row r="64" spans="1:12" ht="6" customHeight="1" x14ac:dyDescent="0.2">
      <c r="A64" s="18"/>
      <c r="B64" s="74"/>
      <c r="C64" s="74"/>
      <c r="D64" s="43"/>
      <c r="E64" s="36"/>
      <c r="F64" s="36"/>
      <c r="G64" s="36"/>
      <c r="H64" s="36"/>
      <c r="I64" s="36"/>
      <c r="J64" s="36"/>
      <c r="K64" s="37"/>
      <c r="L64" s="33"/>
    </row>
    <row r="65" spans="1:13" ht="48" customHeight="1" x14ac:dyDescent="0.2">
      <c r="A65" s="18"/>
      <c r="B65" s="117">
        <v>6</v>
      </c>
      <c r="C65" s="117" t="s">
        <v>237</v>
      </c>
      <c r="D65" s="44" t="s">
        <v>236</v>
      </c>
      <c r="E65" s="26">
        <v>16</v>
      </c>
      <c r="F65" s="26">
        <v>13</v>
      </c>
      <c r="G65" s="26">
        <v>10</v>
      </c>
      <c r="H65" s="26">
        <v>8</v>
      </c>
      <c r="I65" s="26">
        <v>13</v>
      </c>
      <c r="J65" s="26">
        <v>10</v>
      </c>
      <c r="K65" s="27">
        <v>20</v>
      </c>
      <c r="L65" s="23" t="s">
        <v>286</v>
      </c>
    </row>
    <row r="66" spans="1:13" ht="31.5" customHeight="1" x14ac:dyDescent="0.2">
      <c r="A66" s="18"/>
      <c r="B66" s="117"/>
      <c r="C66" s="117"/>
      <c r="D66" s="38" t="s">
        <v>226</v>
      </c>
      <c r="E66" s="26">
        <v>1</v>
      </c>
      <c r="F66" s="26">
        <v>1</v>
      </c>
      <c r="G66" s="26">
        <v>1</v>
      </c>
      <c r="H66" s="26">
        <v>1</v>
      </c>
      <c r="I66" s="26">
        <v>1</v>
      </c>
      <c r="J66" s="26">
        <v>1</v>
      </c>
      <c r="K66" s="26">
        <v>1</v>
      </c>
      <c r="L66" s="23" t="s">
        <v>297</v>
      </c>
    </row>
    <row r="67" spans="1:13" ht="32.25" customHeight="1" x14ac:dyDescent="0.2">
      <c r="A67" s="18"/>
      <c r="B67" s="117"/>
      <c r="C67" s="117"/>
      <c r="D67" s="44" t="s">
        <v>238</v>
      </c>
      <c r="E67" s="26">
        <v>5.4</v>
      </c>
      <c r="F67" s="26">
        <v>5.4</v>
      </c>
      <c r="G67" s="26">
        <v>5.4</v>
      </c>
      <c r="H67" s="26">
        <v>5.4</v>
      </c>
      <c r="I67" s="26">
        <v>5.4</v>
      </c>
      <c r="J67" s="26">
        <v>5.4</v>
      </c>
      <c r="K67" s="26">
        <v>5.4</v>
      </c>
      <c r="L67" s="23" t="s">
        <v>273</v>
      </c>
    </row>
    <row r="68" spans="1:13" ht="31.5" customHeight="1" x14ac:dyDescent="0.2">
      <c r="A68" s="18"/>
      <c r="B68" s="117"/>
      <c r="C68" s="117"/>
      <c r="D68" s="47" t="s">
        <v>130</v>
      </c>
      <c r="E68" s="39">
        <f>SUM(E65:E67)</f>
        <v>22.4</v>
      </c>
      <c r="F68" s="39">
        <f t="shared" ref="F68:K68" si="5">SUM(F65:F67)</f>
        <v>19.399999999999999</v>
      </c>
      <c r="G68" s="39">
        <f t="shared" si="5"/>
        <v>16.399999999999999</v>
      </c>
      <c r="H68" s="39">
        <f t="shared" si="5"/>
        <v>14.4</v>
      </c>
      <c r="I68" s="39">
        <f t="shared" si="5"/>
        <v>19.399999999999999</v>
      </c>
      <c r="J68" s="39">
        <f t="shared" si="5"/>
        <v>16.399999999999999</v>
      </c>
      <c r="K68" s="39">
        <f t="shared" si="5"/>
        <v>26.4</v>
      </c>
      <c r="L68" s="23"/>
    </row>
    <row r="69" spans="1:13" ht="6" customHeight="1" x14ac:dyDescent="0.2">
      <c r="A69" s="18"/>
      <c r="B69" s="74"/>
      <c r="C69" s="76"/>
      <c r="D69" s="47"/>
      <c r="E69" s="39"/>
      <c r="F69" s="39"/>
      <c r="G69" s="39"/>
      <c r="H69" s="39"/>
      <c r="I69" s="39"/>
      <c r="J69" s="39"/>
      <c r="K69" s="40"/>
      <c r="L69" s="23"/>
    </row>
    <row r="70" spans="1:13" x14ac:dyDescent="0.2">
      <c r="B70" s="17"/>
      <c r="C70" s="17"/>
      <c r="D70" s="17"/>
      <c r="E70" s="17"/>
      <c r="F70" s="17"/>
      <c r="G70" s="17"/>
      <c r="H70" s="17"/>
      <c r="I70" s="17"/>
      <c r="J70" s="17"/>
      <c r="K70" s="17"/>
    </row>
    <row r="71" spans="1:13" x14ac:dyDescent="0.2"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spans="1:13" x14ac:dyDescent="0.2">
      <c r="B72" s="17"/>
      <c r="C72" s="17"/>
      <c r="D72" s="17"/>
      <c r="E72" s="17"/>
      <c r="F72" s="17"/>
      <c r="G72" s="17"/>
      <c r="H72" s="17"/>
      <c r="I72" s="17"/>
      <c r="J72" s="17"/>
      <c r="K72" s="17"/>
    </row>
    <row r="73" spans="1:13" ht="18.75" x14ac:dyDescent="0.3">
      <c r="B73" s="65"/>
      <c r="C73" s="66" t="s">
        <v>192</v>
      </c>
      <c r="D73" s="66"/>
      <c r="E73" s="66"/>
      <c r="F73" s="67" t="s">
        <v>193</v>
      </c>
      <c r="G73" s="68" t="s">
        <v>194</v>
      </c>
      <c r="H73" s="66"/>
      <c r="I73" s="69"/>
      <c r="J73" s="69"/>
      <c r="K73" s="69"/>
      <c r="L73" s="69"/>
      <c r="M73" s="69"/>
    </row>
    <row r="74" spans="1:13" ht="18.75" x14ac:dyDescent="0.3">
      <c r="B74" s="65"/>
      <c r="C74" s="66"/>
      <c r="D74" s="66"/>
      <c r="E74" s="66"/>
      <c r="F74" s="67"/>
      <c r="G74" s="68"/>
      <c r="H74" s="66"/>
      <c r="I74" s="69"/>
      <c r="J74" s="69"/>
      <c r="K74" s="69"/>
      <c r="L74" s="69"/>
      <c r="M74" s="69"/>
    </row>
    <row r="75" spans="1:13" ht="18.75" customHeight="1" x14ac:dyDescent="0.3">
      <c r="B75" s="65"/>
      <c r="C75" s="122" t="s">
        <v>195</v>
      </c>
      <c r="D75" s="122"/>
      <c r="E75" s="66"/>
      <c r="F75" s="67" t="s">
        <v>193</v>
      </c>
      <c r="G75" s="68" t="s">
        <v>196</v>
      </c>
      <c r="H75" s="68"/>
      <c r="I75" s="70"/>
      <c r="J75" s="70"/>
      <c r="K75" s="70"/>
      <c r="L75" s="70"/>
      <c r="M75" s="70"/>
    </row>
    <row r="76" spans="1:13" ht="18.75" customHeight="1" x14ac:dyDescent="0.3">
      <c r="B76" s="65"/>
      <c r="C76" s="121"/>
      <c r="D76" s="121"/>
      <c r="E76" s="69"/>
      <c r="F76" s="67"/>
      <c r="G76" s="70"/>
      <c r="H76" s="121"/>
      <c r="I76" s="121"/>
      <c r="J76" s="121"/>
      <c r="K76" s="121"/>
      <c r="L76" s="121"/>
      <c r="M76" s="121"/>
    </row>
    <row r="77" spans="1:13" ht="18.75" customHeight="1" x14ac:dyDescent="0.3">
      <c r="B77" s="17"/>
      <c r="C77" s="79" t="s">
        <v>0</v>
      </c>
      <c r="D77" s="68"/>
      <c r="E77" s="68"/>
      <c r="F77" s="67"/>
      <c r="G77" s="68"/>
      <c r="H77" s="68"/>
      <c r="I77" s="68"/>
      <c r="J77" s="17"/>
      <c r="K77" s="17"/>
      <c r="M77" s="71"/>
    </row>
    <row r="78" spans="1:13" ht="18.75" customHeight="1" x14ac:dyDescent="0.3">
      <c r="B78" s="17"/>
      <c r="C78" s="66"/>
      <c r="D78" s="66" t="s">
        <v>198</v>
      </c>
      <c r="E78" s="66"/>
      <c r="F78" s="67" t="s">
        <v>193</v>
      </c>
      <c r="G78" s="68" t="s">
        <v>2</v>
      </c>
      <c r="H78" s="68"/>
      <c r="I78" s="68"/>
      <c r="J78" s="17"/>
      <c r="K78" s="17"/>
      <c r="M78" s="71"/>
    </row>
    <row r="79" spans="1:13" ht="18.75" customHeight="1" x14ac:dyDescent="0.3">
      <c r="C79" s="66"/>
      <c r="D79" s="66"/>
      <c r="E79" s="66"/>
      <c r="F79" s="67"/>
      <c r="G79" s="68"/>
      <c r="H79" s="68"/>
      <c r="I79" s="68"/>
      <c r="J79" s="17"/>
      <c r="K79" s="17"/>
      <c r="M79" s="71"/>
    </row>
    <row r="80" spans="1:13" ht="18.75" customHeight="1" x14ac:dyDescent="0.3">
      <c r="C80" s="78"/>
      <c r="D80" s="78" t="s">
        <v>199</v>
      </c>
      <c r="E80" s="68"/>
      <c r="F80" s="67" t="s">
        <v>193</v>
      </c>
      <c r="G80" s="68" t="s">
        <v>5</v>
      </c>
      <c r="H80" s="68"/>
      <c r="I80" s="68"/>
      <c r="J80" s="17"/>
      <c r="K80" s="17"/>
      <c r="M80" s="71"/>
    </row>
    <row r="81" spans="3:13" ht="18.75" customHeight="1" x14ac:dyDescent="0.2">
      <c r="C81" s="77"/>
      <c r="D81" s="77"/>
      <c r="E81" s="17"/>
      <c r="F81" s="17"/>
      <c r="G81" s="17"/>
      <c r="H81" s="17"/>
      <c r="I81" s="17"/>
      <c r="J81" s="17"/>
      <c r="K81" s="17"/>
      <c r="M81" s="71"/>
    </row>
  </sheetData>
  <mergeCells count="39">
    <mergeCell ref="B16:L16"/>
    <mergeCell ref="B2:C2"/>
    <mergeCell ref="F2:L2"/>
    <mergeCell ref="B3:E3"/>
    <mergeCell ref="F3:L3"/>
    <mergeCell ref="F4:L4"/>
    <mergeCell ref="B5:D5"/>
    <mergeCell ref="F5:L5"/>
    <mergeCell ref="A11:L11"/>
    <mergeCell ref="B12:L12"/>
    <mergeCell ref="B13:L13"/>
    <mergeCell ref="B14:L14"/>
    <mergeCell ref="B15:L15"/>
    <mergeCell ref="I22:J22"/>
    <mergeCell ref="B24:B32"/>
    <mergeCell ref="C24:C32"/>
    <mergeCell ref="B17:L17"/>
    <mergeCell ref="B18:L18"/>
    <mergeCell ref="B20:B23"/>
    <mergeCell ref="C20:C23"/>
    <mergeCell ref="D20:D23"/>
    <mergeCell ref="E20:K20"/>
    <mergeCell ref="L20:L23"/>
    <mergeCell ref="E21:H22"/>
    <mergeCell ref="I21:J21"/>
    <mergeCell ref="K21:K23"/>
    <mergeCell ref="C75:D75"/>
    <mergeCell ref="C76:D76"/>
    <mergeCell ref="H76:M76"/>
    <mergeCell ref="B34:B41"/>
    <mergeCell ref="C34:C41"/>
    <mergeCell ref="B43:B50"/>
    <mergeCell ref="C43:C50"/>
    <mergeCell ref="B52:B58"/>
    <mergeCell ref="C52:C58"/>
    <mergeCell ref="B60:B63"/>
    <mergeCell ref="C60:C63"/>
    <mergeCell ref="B65:B68"/>
    <mergeCell ref="C65:C68"/>
  </mergeCells>
  <printOptions horizontalCentered="1"/>
  <pageMargins left="0.23622047244094491" right="0.23622047244094491" top="0.15748031496062992" bottom="0.35433070866141736" header="0.31496062992125984" footer="0.31496062992125984"/>
  <pageSetup paperSize="9" scale="69" orientation="portrait" verticalDpi="0" r:id="rId1"/>
  <headerFooter alignWithMargins="0"/>
  <rowBreaks count="2" manualBreakCount="2">
    <brk id="46" max="11" man="1"/>
    <brk id="81" max="1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9"/>
  <sheetViews>
    <sheetView view="pageBreakPreview" topLeftCell="A43" zoomScale="57" zoomScaleNormal="100" zoomScaleSheetLayoutView="57" workbookViewId="0">
      <selection activeCell="D67" sqref="D67"/>
    </sheetView>
  </sheetViews>
  <sheetFormatPr defaultRowHeight="12.75" x14ac:dyDescent="0.2"/>
  <cols>
    <col min="1" max="1" width="1.42578125" style="2" customWidth="1"/>
    <col min="2" max="2" width="4.28515625" style="2" customWidth="1"/>
    <col min="3" max="3" width="16" style="2" customWidth="1"/>
    <col min="4" max="4" width="32.7109375" style="2" customWidth="1"/>
    <col min="5" max="11" width="7.7109375" style="2" customWidth="1"/>
    <col min="12" max="12" width="17.140625" style="17" customWidth="1"/>
    <col min="13" max="13" width="0.85546875" style="2" customWidth="1"/>
    <col min="14" max="14" width="9.140625" style="2" customWidth="1"/>
    <col min="15" max="15" width="43.42578125" style="2" customWidth="1"/>
    <col min="16" max="16" width="9.140625" style="2"/>
    <col min="17" max="24" width="9.140625" style="2" customWidth="1"/>
    <col min="25" max="25" width="8.85546875" style="2" customWidth="1"/>
    <col min="26" max="27" width="9.140625" style="2" hidden="1" customWidth="1"/>
    <col min="28" max="256" width="9.140625" style="2"/>
    <col min="257" max="257" width="1.42578125" style="2" customWidth="1"/>
    <col min="258" max="258" width="4.28515625" style="2" customWidth="1"/>
    <col min="259" max="259" width="16" style="2" customWidth="1"/>
    <col min="260" max="260" width="32.7109375" style="2" customWidth="1"/>
    <col min="261" max="267" width="7.7109375" style="2" customWidth="1"/>
    <col min="268" max="268" width="17.140625" style="2" customWidth="1"/>
    <col min="269" max="269" width="0.85546875" style="2" customWidth="1"/>
    <col min="270" max="270" width="9.140625" style="2" customWidth="1"/>
    <col min="271" max="271" width="43.42578125" style="2" customWidth="1"/>
    <col min="272" max="272" width="9.140625" style="2"/>
    <col min="273" max="280" width="9.140625" style="2" customWidth="1"/>
    <col min="281" max="281" width="8.85546875" style="2" customWidth="1"/>
    <col min="282" max="283" width="0" style="2" hidden="1" customWidth="1"/>
    <col min="284" max="512" width="9.140625" style="2"/>
    <col min="513" max="513" width="1.42578125" style="2" customWidth="1"/>
    <col min="514" max="514" width="4.28515625" style="2" customWidth="1"/>
    <col min="515" max="515" width="16" style="2" customWidth="1"/>
    <col min="516" max="516" width="32.7109375" style="2" customWidth="1"/>
    <col min="517" max="523" width="7.7109375" style="2" customWidth="1"/>
    <col min="524" max="524" width="17.140625" style="2" customWidth="1"/>
    <col min="525" max="525" width="0.85546875" style="2" customWidth="1"/>
    <col min="526" max="526" width="9.140625" style="2" customWidth="1"/>
    <col min="527" max="527" width="43.42578125" style="2" customWidth="1"/>
    <col min="528" max="528" width="9.140625" style="2"/>
    <col min="529" max="536" width="9.140625" style="2" customWidth="1"/>
    <col min="537" max="537" width="8.85546875" style="2" customWidth="1"/>
    <col min="538" max="539" width="0" style="2" hidden="1" customWidth="1"/>
    <col min="540" max="768" width="9.140625" style="2"/>
    <col min="769" max="769" width="1.42578125" style="2" customWidth="1"/>
    <col min="770" max="770" width="4.28515625" style="2" customWidth="1"/>
    <col min="771" max="771" width="16" style="2" customWidth="1"/>
    <col min="772" max="772" width="32.7109375" style="2" customWidth="1"/>
    <col min="773" max="779" width="7.7109375" style="2" customWidth="1"/>
    <col min="780" max="780" width="17.140625" style="2" customWidth="1"/>
    <col min="781" max="781" width="0.85546875" style="2" customWidth="1"/>
    <col min="782" max="782" width="9.140625" style="2" customWidth="1"/>
    <col min="783" max="783" width="43.42578125" style="2" customWidth="1"/>
    <col min="784" max="784" width="9.140625" style="2"/>
    <col min="785" max="792" width="9.140625" style="2" customWidth="1"/>
    <col min="793" max="793" width="8.85546875" style="2" customWidth="1"/>
    <col min="794" max="795" width="0" style="2" hidden="1" customWidth="1"/>
    <col min="796" max="1024" width="9.140625" style="2"/>
    <col min="1025" max="1025" width="1.42578125" style="2" customWidth="1"/>
    <col min="1026" max="1026" width="4.28515625" style="2" customWidth="1"/>
    <col min="1027" max="1027" width="16" style="2" customWidth="1"/>
    <col min="1028" max="1028" width="32.7109375" style="2" customWidth="1"/>
    <col min="1029" max="1035" width="7.7109375" style="2" customWidth="1"/>
    <col min="1036" max="1036" width="17.140625" style="2" customWidth="1"/>
    <col min="1037" max="1037" width="0.85546875" style="2" customWidth="1"/>
    <col min="1038" max="1038" width="9.140625" style="2" customWidth="1"/>
    <col min="1039" max="1039" width="43.42578125" style="2" customWidth="1"/>
    <col min="1040" max="1040" width="9.140625" style="2"/>
    <col min="1041" max="1048" width="9.140625" style="2" customWidth="1"/>
    <col min="1049" max="1049" width="8.85546875" style="2" customWidth="1"/>
    <col min="1050" max="1051" width="0" style="2" hidden="1" customWidth="1"/>
    <col min="1052" max="1280" width="9.140625" style="2"/>
    <col min="1281" max="1281" width="1.42578125" style="2" customWidth="1"/>
    <col min="1282" max="1282" width="4.28515625" style="2" customWidth="1"/>
    <col min="1283" max="1283" width="16" style="2" customWidth="1"/>
    <col min="1284" max="1284" width="32.7109375" style="2" customWidth="1"/>
    <col min="1285" max="1291" width="7.7109375" style="2" customWidth="1"/>
    <col min="1292" max="1292" width="17.140625" style="2" customWidth="1"/>
    <col min="1293" max="1293" width="0.85546875" style="2" customWidth="1"/>
    <col min="1294" max="1294" width="9.140625" style="2" customWidth="1"/>
    <col min="1295" max="1295" width="43.42578125" style="2" customWidth="1"/>
    <col min="1296" max="1296" width="9.140625" style="2"/>
    <col min="1297" max="1304" width="9.140625" style="2" customWidth="1"/>
    <col min="1305" max="1305" width="8.85546875" style="2" customWidth="1"/>
    <col min="1306" max="1307" width="0" style="2" hidden="1" customWidth="1"/>
    <col min="1308" max="1536" width="9.140625" style="2"/>
    <col min="1537" max="1537" width="1.42578125" style="2" customWidth="1"/>
    <col min="1538" max="1538" width="4.28515625" style="2" customWidth="1"/>
    <col min="1539" max="1539" width="16" style="2" customWidth="1"/>
    <col min="1540" max="1540" width="32.7109375" style="2" customWidth="1"/>
    <col min="1541" max="1547" width="7.7109375" style="2" customWidth="1"/>
    <col min="1548" max="1548" width="17.140625" style="2" customWidth="1"/>
    <col min="1549" max="1549" width="0.85546875" style="2" customWidth="1"/>
    <col min="1550" max="1550" width="9.140625" style="2" customWidth="1"/>
    <col min="1551" max="1551" width="43.42578125" style="2" customWidth="1"/>
    <col min="1552" max="1552" width="9.140625" style="2"/>
    <col min="1553" max="1560" width="9.140625" style="2" customWidth="1"/>
    <col min="1561" max="1561" width="8.85546875" style="2" customWidth="1"/>
    <col min="1562" max="1563" width="0" style="2" hidden="1" customWidth="1"/>
    <col min="1564" max="1792" width="9.140625" style="2"/>
    <col min="1793" max="1793" width="1.42578125" style="2" customWidth="1"/>
    <col min="1794" max="1794" width="4.28515625" style="2" customWidth="1"/>
    <col min="1795" max="1795" width="16" style="2" customWidth="1"/>
    <col min="1796" max="1796" width="32.7109375" style="2" customWidth="1"/>
    <col min="1797" max="1803" width="7.7109375" style="2" customWidth="1"/>
    <col min="1804" max="1804" width="17.140625" style="2" customWidth="1"/>
    <col min="1805" max="1805" width="0.85546875" style="2" customWidth="1"/>
    <col min="1806" max="1806" width="9.140625" style="2" customWidth="1"/>
    <col min="1807" max="1807" width="43.42578125" style="2" customWidth="1"/>
    <col min="1808" max="1808" width="9.140625" style="2"/>
    <col min="1809" max="1816" width="9.140625" style="2" customWidth="1"/>
    <col min="1817" max="1817" width="8.85546875" style="2" customWidth="1"/>
    <col min="1818" max="1819" width="0" style="2" hidden="1" customWidth="1"/>
    <col min="1820" max="2048" width="9.140625" style="2"/>
    <col min="2049" max="2049" width="1.42578125" style="2" customWidth="1"/>
    <col min="2050" max="2050" width="4.28515625" style="2" customWidth="1"/>
    <col min="2051" max="2051" width="16" style="2" customWidth="1"/>
    <col min="2052" max="2052" width="32.7109375" style="2" customWidth="1"/>
    <col min="2053" max="2059" width="7.7109375" style="2" customWidth="1"/>
    <col min="2060" max="2060" width="17.140625" style="2" customWidth="1"/>
    <col min="2061" max="2061" width="0.85546875" style="2" customWidth="1"/>
    <col min="2062" max="2062" width="9.140625" style="2" customWidth="1"/>
    <col min="2063" max="2063" width="43.42578125" style="2" customWidth="1"/>
    <col min="2064" max="2064" width="9.140625" style="2"/>
    <col min="2065" max="2072" width="9.140625" style="2" customWidth="1"/>
    <col min="2073" max="2073" width="8.85546875" style="2" customWidth="1"/>
    <col min="2074" max="2075" width="0" style="2" hidden="1" customWidth="1"/>
    <col min="2076" max="2304" width="9.140625" style="2"/>
    <col min="2305" max="2305" width="1.42578125" style="2" customWidth="1"/>
    <col min="2306" max="2306" width="4.28515625" style="2" customWidth="1"/>
    <col min="2307" max="2307" width="16" style="2" customWidth="1"/>
    <col min="2308" max="2308" width="32.7109375" style="2" customWidth="1"/>
    <col min="2309" max="2315" width="7.7109375" style="2" customWidth="1"/>
    <col min="2316" max="2316" width="17.140625" style="2" customWidth="1"/>
    <col min="2317" max="2317" width="0.85546875" style="2" customWidth="1"/>
    <col min="2318" max="2318" width="9.140625" style="2" customWidth="1"/>
    <col min="2319" max="2319" width="43.42578125" style="2" customWidth="1"/>
    <col min="2320" max="2320" width="9.140625" style="2"/>
    <col min="2321" max="2328" width="9.140625" style="2" customWidth="1"/>
    <col min="2329" max="2329" width="8.85546875" style="2" customWidth="1"/>
    <col min="2330" max="2331" width="0" style="2" hidden="1" customWidth="1"/>
    <col min="2332" max="2560" width="9.140625" style="2"/>
    <col min="2561" max="2561" width="1.42578125" style="2" customWidth="1"/>
    <col min="2562" max="2562" width="4.28515625" style="2" customWidth="1"/>
    <col min="2563" max="2563" width="16" style="2" customWidth="1"/>
    <col min="2564" max="2564" width="32.7109375" style="2" customWidth="1"/>
    <col min="2565" max="2571" width="7.7109375" style="2" customWidth="1"/>
    <col min="2572" max="2572" width="17.140625" style="2" customWidth="1"/>
    <col min="2573" max="2573" width="0.85546875" style="2" customWidth="1"/>
    <col min="2574" max="2574" width="9.140625" style="2" customWidth="1"/>
    <col min="2575" max="2575" width="43.42578125" style="2" customWidth="1"/>
    <col min="2576" max="2576" width="9.140625" style="2"/>
    <col min="2577" max="2584" width="9.140625" style="2" customWidth="1"/>
    <col min="2585" max="2585" width="8.85546875" style="2" customWidth="1"/>
    <col min="2586" max="2587" width="0" style="2" hidden="1" customWidth="1"/>
    <col min="2588" max="2816" width="9.140625" style="2"/>
    <col min="2817" max="2817" width="1.42578125" style="2" customWidth="1"/>
    <col min="2818" max="2818" width="4.28515625" style="2" customWidth="1"/>
    <col min="2819" max="2819" width="16" style="2" customWidth="1"/>
    <col min="2820" max="2820" width="32.7109375" style="2" customWidth="1"/>
    <col min="2821" max="2827" width="7.7109375" style="2" customWidth="1"/>
    <col min="2828" max="2828" width="17.140625" style="2" customWidth="1"/>
    <col min="2829" max="2829" width="0.85546875" style="2" customWidth="1"/>
    <col min="2830" max="2830" width="9.140625" style="2" customWidth="1"/>
    <col min="2831" max="2831" width="43.42578125" style="2" customWidth="1"/>
    <col min="2832" max="2832" width="9.140625" style="2"/>
    <col min="2833" max="2840" width="9.140625" style="2" customWidth="1"/>
    <col min="2841" max="2841" width="8.85546875" style="2" customWidth="1"/>
    <col min="2842" max="2843" width="0" style="2" hidden="1" customWidth="1"/>
    <col min="2844" max="3072" width="9.140625" style="2"/>
    <col min="3073" max="3073" width="1.42578125" style="2" customWidth="1"/>
    <col min="3074" max="3074" width="4.28515625" style="2" customWidth="1"/>
    <col min="3075" max="3075" width="16" style="2" customWidth="1"/>
    <col min="3076" max="3076" width="32.7109375" style="2" customWidth="1"/>
    <col min="3077" max="3083" width="7.7109375" style="2" customWidth="1"/>
    <col min="3084" max="3084" width="17.140625" style="2" customWidth="1"/>
    <col min="3085" max="3085" width="0.85546875" style="2" customWidth="1"/>
    <col min="3086" max="3086" width="9.140625" style="2" customWidth="1"/>
    <col min="3087" max="3087" width="43.42578125" style="2" customWidth="1"/>
    <col min="3088" max="3088" width="9.140625" style="2"/>
    <col min="3089" max="3096" width="9.140625" style="2" customWidth="1"/>
    <col min="3097" max="3097" width="8.85546875" style="2" customWidth="1"/>
    <col min="3098" max="3099" width="0" style="2" hidden="1" customWidth="1"/>
    <col min="3100" max="3328" width="9.140625" style="2"/>
    <col min="3329" max="3329" width="1.42578125" style="2" customWidth="1"/>
    <col min="3330" max="3330" width="4.28515625" style="2" customWidth="1"/>
    <col min="3331" max="3331" width="16" style="2" customWidth="1"/>
    <col min="3332" max="3332" width="32.7109375" style="2" customWidth="1"/>
    <col min="3333" max="3339" width="7.7109375" style="2" customWidth="1"/>
    <col min="3340" max="3340" width="17.140625" style="2" customWidth="1"/>
    <col min="3341" max="3341" width="0.85546875" style="2" customWidth="1"/>
    <col min="3342" max="3342" width="9.140625" style="2" customWidth="1"/>
    <col min="3343" max="3343" width="43.42578125" style="2" customWidth="1"/>
    <col min="3344" max="3344" width="9.140625" style="2"/>
    <col min="3345" max="3352" width="9.140625" style="2" customWidth="1"/>
    <col min="3353" max="3353" width="8.85546875" style="2" customWidth="1"/>
    <col min="3354" max="3355" width="0" style="2" hidden="1" customWidth="1"/>
    <col min="3356" max="3584" width="9.140625" style="2"/>
    <col min="3585" max="3585" width="1.42578125" style="2" customWidth="1"/>
    <col min="3586" max="3586" width="4.28515625" style="2" customWidth="1"/>
    <col min="3587" max="3587" width="16" style="2" customWidth="1"/>
    <col min="3588" max="3588" width="32.7109375" style="2" customWidth="1"/>
    <col min="3589" max="3595" width="7.7109375" style="2" customWidth="1"/>
    <col min="3596" max="3596" width="17.140625" style="2" customWidth="1"/>
    <col min="3597" max="3597" width="0.85546875" style="2" customWidth="1"/>
    <col min="3598" max="3598" width="9.140625" style="2" customWidth="1"/>
    <col min="3599" max="3599" width="43.42578125" style="2" customWidth="1"/>
    <col min="3600" max="3600" width="9.140625" style="2"/>
    <col min="3601" max="3608" width="9.140625" style="2" customWidth="1"/>
    <col min="3609" max="3609" width="8.85546875" style="2" customWidth="1"/>
    <col min="3610" max="3611" width="0" style="2" hidden="1" customWidth="1"/>
    <col min="3612" max="3840" width="9.140625" style="2"/>
    <col min="3841" max="3841" width="1.42578125" style="2" customWidth="1"/>
    <col min="3842" max="3842" width="4.28515625" style="2" customWidth="1"/>
    <col min="3843" max="3843" width="16" style="2" customWidth="1"/>
    <col min="3844" max="3844" width="32.7109375" style="2" customWidth="1"/>
    <col min="3845" max="3851" width="7.7109375" style="2" customWidth="1"/>
    <col min="3852" max="3852" width="17.140625" style="2" customWidth="1"/>
    <col min="3853" max="3853" width="0.85546875" style="2" customWidth="1"/>
    <col min="3854" max="3854" width="9.140625" style="2" customWidth="1"/>
    <col min="3855" max="3855" width="43.42578125" style="2" customWidth="1"/>
    <col min="3856" max="3856" width="9.140625" style="2"/>
    <col min="3857" max="3864" width="9.140625" style="2" customWidth="1"/>
    <col min="3865" max="3865" width="8.85546875" style="2" customWidth="1"/>
    <col min="3866" max="3867" width="0" style="2" hidden="1" customWidth="1"/>
    <col min="3868" max="4096" width="9.140625" style="2"/>
    <col min="4097" max="4097" width="1.42578125" style="2" customWidth="1"/>
    <col min="4098" max="4098" width="4.28515625" style="2" customWidth="1"/>
    <col min="4099" max="4099" width="16" style="2" customWidth="1"/>
    <col min="4100" max="4100" width="32.7109375" style="2" customWidth="1"/>
    <col min="4101" max="4107" width="7.7109375" style="2" customWidth="1"/>
    <col min="4108" max="4108" width="17.140625" style="2" customWidth="1"/>
    <col min="4109" max="4109" width="0.85546875" style="2" customWidth="1"/>
    <col min="4110" max="4110" width="9.140625" style="2" customWidth="1"/>
    <col min="4111" max="4111" width="43.42578125" style="2" customWidth="1"/>
    <col min="4112" max="4112" width="9.140625" style="2"/>
    <col min="4113" max="4120" width="9.140625" style="2" customWidth="1"/>
    <col min="4121" max="4121" width="8.85546875" style="2" customWidth="1"/>
    <col min="4122" max="4123" width="0" style="2" hidden="1" customWidth="1"/>
    <col min="4124" max="4352" width="9.140625" style="2"/>
    <col min="4353" max="4353" width="1.42578125" style="2" customWidth="1"/>
    <col min="4354" max="4354" width="4.28515625" style="2" customWidth="1"/>
    <col min="4355" max="4355" width="16" style="2" customWidth="1"/>
    <col min="4356" max="4356" width="32.7109375" style="2" customWidth="1"/>
    <col min="4357" max="4363" width="7.7109375" style="2" customWidth="1"/>
    <col min="4364" max="4364" width="17.140625" style="2" customWidth="1"/>
    <col min="4365" max="4365" width="0.85546875" style="2" customWidth="1"/>
    <col min="4366" max="4366" width="9.140625" style="2" customWidth="1"/>
    <col min="4367" max="4367" width="43.42578125" style="2" customWidth="1"/>
    <col min="4368" max="4368" width="9.140625" style="2"/>
    <col min="4369" max="4376" width="9.140625" style="2" customWidth="1"/>
    <col min="4377" max="4377" width="8.85546875" style="2" customWidth="1"/>
    <col min="4378" max="4379" width="0" style="2" hidden="1" customWidth="1"/>
    <col min="4380" max="4608" width="9.140625" style="2"/>
    <col min="4609" max="4609" width="1.42578125" style="2" customWidth="1"/>
    <col min="4610" max="4610" width="4.28515625" style="2" customWidth="1"/>
    <col min="4611" max="4611" width="16" style="2" customWidth="1"/>
    <col min="4612" max="4612" width="32.7109375" style="2" customWidth="1"/>
    <col min="4613" max="4619" width="7.7109375" style="2" customWidth="1"/>
    <col min="4620" max="4620" width="17.140625" style="2" customWidth="1"/>
    <col min="4621" max="4621" width="0.85546875" style="2" customWidth="1"/>
    <col min="4622" max="4622" width="9.140625" style="2" customWidth="1"/>
    <col min="4623" max="4623" width="43.42578125" style="2" customWidth="1"/>
    <col min="4624" max="4624" width="9.140625" style="2"/>
    <col min="4625" max="4632" width="9.140625" style="2" customWidth="1"/>
    <col min="4633" max="4633" width="8.85546875" style="2" customWidth="1"/>
    <col min="4634" max="4635" width="0" style="2" hidden="1" customWidth="1"/>
    <col min="4636" max="4864" width="9.140625" style="2"/>
    <col min="4865" max="4865" width="1.42578125" style="2" customWidth="1"/>
    <col min="4866" max="4866" width="4.28515625" style="2" customWidth="1"/>
    <col min="4867" max="4867" width="16" style="2" customWidth="1"/>
    <col min="4868" max="4868" width="32.7109375" style="2" customWidth="1"/>
    <col min="4869" max="4875" width="7.7109375" style="2" customWidth="1"/>
    <col min="4876" max="4876" width="17.140625" style="2" customWidth="1"/>
    <col min="4877" max="4877" width="0.85546875" style="2" customWidth="1"/>
    <col min="4878" max="4878" width="9.140625" style="2" customWidth="1"/>
    <col min="4879" max="4879" width="43.42578125" style="2" customWidth="1"/>
    <col min="4880" max="4880" width="9.140625" style="2"/>
    <col min="4881" max="4888" width="9.140625" style="2" customWidth="1"/>
    <col min="4889" max="4889" width="8.85546875" style="2" customWidth="1"/>
    <col min="4890" max="4891" width="0" style="2" hidden="1" customWidth="1"/>
    <col min="4892" max="5120" width="9.140625" style="2"/>
    <col min="5121" max="5121" width="1.42578125" style="2" customWidth="1"/>
    <col min="5122" max="5122" width="4.28515625" style="2" customWidth="1"/>
    <col min="5123" max="5123" width="16" style="2" customWidth="1"/>
    <col min="5124" max="5124" width="32.7109375" style="2" customWidth="1"/>
    <col min="5125" max="5131" width="7.7109375" style="2" customWidth="1"/>
    <col min="5132" max="5132" width="17.140625" style="2" customWidth="1"/>
    <col min="5133" max="5133" width="0.85546875" style="2" customWidth="1"/>
    <col min="5134" max="5134" width="9.140625" style="2" customWidth="1"/>
    <col min="5135" max="5135" width="43.42578125" style="2" customWidth="1"/>
    <col min="5136" max="5136" width="9.140625" style="2"/>
    <col min="5137" max="5144" width="9.140625" style="2" customWidth="1"/>
    <col min="5145" max="5145" width="8.85546875" style="2" customWidth="1"/>
    <col min="5146" max="5147" width="0" style="2" hidden="1" customWidth="1"/>
    <col min="5148" max="5376" width="9.140625" style="2"/>
    <col min="5377" max="5377" width="1.42578125" style="2" customWidth="1"/>
    <col min="5378" max="5378" width="4.28515625" style="2" customWidth="1"/>
    <col min="5379" max="5379" width="16" style="2" customWidth="1"/>
    <col min="5380" max="5380" width="32.7109375" style="2" customWidth="1"/>
    <col min="5381" max="5387" width="7.7109375" style="2" customWidth="1"/>
    <col min="5388" max="5388" width="17.140625" style="2" customWidth="1"/>
    <col min="5389" max="5389" width="0.85546875" style="2" customWidth="1"/>
    <col min="5390" max="5390" width="9.140625" style="2" customWidth="1"/>
    <col min="5391" max="5391" width="43.42578125" style="2" customWidth="1"/>
    <col min="5392" max="5392" width="9.140625" style="2"/>
    <col min="5393" max="5400" width="9.140625" style="2" customWidth="1"/>
    <col min="5401" max="5401" width="8.85546875" style="2" customWidth="1"/>
    <col min="5402" max="5403" width="0" style="2" hidden="1" customWidth="1"/>
    <col min="5404" max="5632" width="9.140625" style="2"/>
    <col min="5633" max="5633" width="1.42578125" style="2" customWidth="1"/>
    <col min="5634" max="5634" width="4.28515625" style="2" customWidth="1"/>
    <col min="5635" max="5635" width="16" style="2" customWidth="1"/>
    <col min="5636" max="5636" width="32.7109375" style="2" customWidth="1"/>
    <col min="5637" max="5643" width="7.7109375" style="2" customWidth="1"/>
    <col min="5644" max="5644" width="17.140625" style="2" customWidth="1"/>
    <col min="5645" max="5645" width="0.85546875" style="2" customWidth="1"/>
    <col min="5646" max="5646" width="9.140625" style="2" customWidth="1"/>
    <col min="5647" max="5647" width="43.42578125" style="2" customWidth="1"/>
    <col min="5648" max="5648" width="9.140625" style="2"/>
    <col min="5649" max="5656" width="9.140625" style="2" customWidth="1"/>
    <col min="5657" max="5657" width="8.85546875" style="2" customWidth="1"/>
    <col min="5658" max="5659" width="0" style="2" hidden="1" customWidth="1"/>
    <col min="5660" max="5888" width="9.140625" style="2"/>
    <col min="5889" max="5889" width="1.42578125" style="2" customWidth="1"/>
    <col min="5890" max="5890" width="4.28515625" style="2" customWidth="1"/>
    <col min="5891" max="5891" width="16" style="2" customWidth="1"/>
    <col min="5892" max="5892" width="32.7109375" style="2" customWidth="1"/>
    <col min="5893" max="5899" width="7.7109375" style="2" customWidth="1"/>
    <col min="5900" max="5900" width="17.140625" style="2" customWidth="1"/>
    <col min="5901" max="5901" width="0.85546875" style="2" customWidth="1"/>
    <col min="5902" max="5902" width="9.140625" style="2" customWidth="1"/>
    <col min="5903" max="5903" width="43.42578125" style="2" customWidth="1"/>
    <col min="5904" max="5904" width="9.140625" style="2"/>
    <col min="5905" max="5912" width="9.140625" style="2" customWidth="1"/>
    <col min="5913" max="5913" width="8.85546875" style="2" customWidth="1"/>
    <col min="5914" max="5915" width="0" style="2" hidden="1" customWidth="1"/>
    <col min="5916" max="6144" width="9.140625" style="2"/>
    <col min="6145" max="6145" width="1.42578125" style="2" customWidth="1"/>
    <col min="6146" max="6146" width="4.28515625" style="2" customWidth="1"/>
    <col min="6147" max="6147" width="16" style="2" customWidth="1"/>
    <col min="6148" max="6148" width="32.7109375" style="2" customWidth="1"/>
    <col min="6149" max="6155" width="7.7109375" style="2" customWidth="1"/>
    <col min="6156" max="6156" width="17.140625" style="2" customWidth="1"/>
    <col min="6157" max="6157" width="0.85546875" style="2" customWidth="1"/>
    <col min="6158" max="6158" width="9.140625" style="2" customWidth="1"/>
    <col min="6159" max="6159" width="43.42578125" style="2" customWidth="1"/>
    <col min="6160" max="6160" width="9.140625" style="2"/>
    <col min="6161" max="6168" width="9.140625" style="2" customWidth="1"/>
    <col min="6169" max="6169" width="8.85546875" style="2" customWidth="1"/>
    <col min="6170" max="6171" width="0" style="2" hidden="1" customWidth="1"/>
    <col min="6172" max="6400" width="9.140625" style="2"/>
    <col min="6401" max="6401" width="1.42578125" style="2" customWidth="1"/>
    <col min="6402" max="6402" width="4.28515625" style="2" customWidth="1"/>
    <col min="6403" max="6403" width="16" style="2" customWidth="1"/>
    <col min="6404" max="6404" width="32.7109375" style="2" customWidth="1"/>
    <col min="6405" max="6411" width="7.7109375" style="2" customWidth="1"/>
    <col min="6412" max="6412" width="17.140625" style="2" customWidth="1"/>
    <col min="6413" max="6413" width="0.85546875" style="2" customWidth="1"/>
    <col min="6414" max="6414" width="9.140625" style="2" customWidth="1"/>
    <col min="6415" max="6415" width="43.42578125" style="2" customWidth="1"/>
    <col min="6416" max="6416" width="9.140625" style="2"/>
    <col min="6417" max="6424" width="9.140625" style="2" customWidth="1"/>
    <col min="6425" max="6425" width="8.85546875" style="2" customWidth="1"/>
    <col min="6426" max="6427" width="0" style="2" hidden="1" customWidth="1"/>
    <col min="6428" max="6656" width="9.140625" style="2"/>
    <col min="6657" max="6657" width="1.42578125" style="2" customWidth="1"/>
    <col min="6658" max="6658" width="4.28515625" style="2" customWidth="1"/>
    <col min="6659" max="6659" width="16" style="2" customWidth="1"/>
    <col min="6660" max="6660" width="32.7109375" style="2" customWidth="1"/>
    <col min="6661" max="6667" width="7.7109375" style="2" customWidth="1"/>
    <col min="6668" max="6668" width="17.140625" style="2" customWidth="1"/>
    <col min="6669" max="6669" width="0.85546875" style="2" customWidth="1"/>
    <col min="6670" max="6670" width="9.140625" style="2" customWidth="1"/>
    <col min="6671" max="6671" width="43.42578125" style="2" customWidth="1"/>
    <col min="6672" max="6672" width="9.140625" style="2"/>
    <col min="6673" max="6680" width="9.140625" style="2" customWidth="1"/>
    <col min="6681" max="6681" width="8.85546875" style="2" customWidth="1"/>
    <col min="6682" max="6683" width="0" style="2" hidden="1" customWidth="1"/>
    <col min="6684" max="6912" width="9.140625" style="2"/>
    <col min="6913" max="6913" width="1.42578125" style="2" customWidth="1"/>
    <col min="6914" max="6914" width="4.28515625" style="2" customWidth="1"/>
    <col min="6915" max="6915" width="16" style="2" customWidth="1"/>
    <col min="6916" max="6916" width="32.7109375" style="2" customWidth="1"/>
    <col min="6917" max="6923" width="7.7109375" style="2" customWidth="1"/>
    <col min="6924" max="6924" width="17.140625" style="2" customWidth="1"/>
    <col min="6925" max="6925" width="0.85546875" style="2" customWidth="1"/>
    <col min="6926" max="6926" width="9.140625" style="2" customWidth="1"/>
    <col min="6927" max="6927" width="43.42578125" style="2" customWidth="1"/>
    <col min="6928" max="6928" width="9.140625" style="2"/>
    <col min="6929" max="6936" width="9.140625" style="2" customWidth="1"/>
    <col min="6937" max="6937" width="8.85546875" style="2" customWidth="1"/>
    <col min="6938" max="6939" width="0" style="2" hidden="1" customWidth="1"/>
    <col min="6940" max="7168" width="9.140625" style="2"/>
    <col min="7169" max="7169" width="1.42578125" style="2" customWidth="1"/>
    <col min="7170" max="7170" width="4.28515625" style="2" customWidth="1"/>
    <col min="7171" max="7171" width="16" style="2" customWidth="1"/>
    <col min="7172" max="7172" width="32.7109375" style="2" customWidth="1"/>
    <col min="7173" max="7179" width="7.7109375" style="2" customWidth="1"/>
    <col min="7180" max="7180" width="17.140625" style="2" customWidth="1"/>
    <col min="7181" max="7181" width="0.85546875" style="2" customWidth="1"/>
    <col min="7182" max="7182" width="9.140625" style="2" customWidth="1"/>
    <col min="7183" max="7183" width="43.42578125" style="2" customWidth="1"/>
    <col min="7184" max="7184" width="9.140625" style="2"/>
    <col min="7185" max="7192" width="9.140625" style="2" customWidth="1"/>
    <col min="7193" max="7193" width="8.85546875" style="2" customWidth="1"/>
    <col min="7194" max="7195" width="0" style="2" hidden="1" customWidth="1"/>
    <col min="7196" max="7424" width="9.140625" style="2"/>
    <col min="7425" max="7425" width="1.42578125" style="2" customWidth="1"/>
    <col min="7426" max="7426" width="4.28515625" style="2" customWidth="1"/>
    <col min="7427" max="7427" width="16" style="2" customWidth="1"/>
    <col min="7428" max="7428" width="32.7109375" style="2" customWidth="1"/>
    <col min="7429" max="7435" width="7.7109375" style="2" customWidth="1"/>
    <col min="7436" max="7436" width="17.140625" style="2" customWidth="1"/>
    <col min="7437" max="7437" width="0.85546875" style="2" customWidth="1"/>
    <col min="7438" max="7438" width="9.140625" style="2" customWidth="1"/>
    <col min="7439" max="7439" width="43.42578125" style="2" customWidth="1"/>
    <col min="7440" max="7440" width="9.140625" style="2"/>
    <col min="7441" max="7448" width="9.140625" style="2" customWidth="1"/>
    <col min="7449" max="7449" width="8.85546875" style="2" customWidth="1"/>
    <col min="7450" max="7451" width="0" style="2" hidden="1" customWidth="1"/>
    <col min="7452" max="7680" width="9.140625" style="2"/>
    <col min="7681" max="7681" width="1.42578125" style="2" customWidth="1"/>
    <col min="7682" max="7682" width="4.28515625" style="2" customWidth="1"/>
    <col min="7683" max="7683" width="16" style="2" customWidth="1"/>
    <col min="7684" max="7684" width="32.7109375" style="2" customWidth="1"/>
    <col min="7685" max="7691" width="7.7109375" style="2" customWidth="1"/>
    <col min="7692" max="7692" width="17.140625" style="2" customWidth="1"/>
    <col min="7693" max="7693" width="0.85546875" style="2" customWidth="1"/>
    <col min="7694" max="7694" width="9.140625" style="2" customWidth="1"/>
    <col min="7695" max="7695" width="43.42578125" style="2" customWidth="1"/>
    <col min="7696" max="7696" width="9.140625" style="2"/>
    <col min="7697" max="7704" width="9.140625" style="2" customWidth="1"/>
    <col min="7705" max="7705" width="8.85546875" style="2" customWidth="1"/>
    <col min="7706" max="7707" width="0" style="2" hidden="1" customWidth="1"/>
    <col min="7708" max="7936" width="9.140625" style="2"/>
    <col min="7937" max="7937" width="1.42578125" style="2" customWidth="1"/>
    <col min="7938" max="7938" width="4.28515625" style="2" customWidth="1"/>
    <col min="7939" max="7939" width="16" style="2" customWidth="1"/>
    <col min="7940" max="7940" width="32.7109375" style="2" customWidth="1"/>
    <col min="7941" max="7947" width="7.7109375" style="2" customWidth="1"/>
    <col min="7948" max="7948" width="17.140625" style="2" customWidth="1"/>
    <col min="7949" max="7949" width="0.85546875" style="2" customWidth="1"/>
    <col min="7950" max="7950" width="9.140625" style="2" customWidth="1"/>
    <col min="7951" max="7951" width="43.42578125" style="2" customWidth="1"/>
    <col min="7952" max="7952" width="9.140625" style="2"/>
    <col min="7953" max="7960" width="9.140625" style="2" customWidth="1"/>
    <col min="7961" max="7961" width="8.85546875" style="2" customWidth="1"/>
    <col min="7962" max="7963" width="0" style="2" hidden="1" customWidth="1"/>
    <col min="7964" max="8192" width="9.140625" style="2"/>
    <col min="8193" max="8193" width="1.42578125" style="2" customWidth="1"/>
    <col min="8194" max="8194" width="4.28515625" style="2" customWidth="1"/>
    <col min="8195" max="8195" width="16" style="2" customWidth="1"/>
    <col min="8196" max="8196" width="32.7109375" style="2" customWidth="1"/>
    <col min="8197" max="8203" width="7.7109375" style="2" customWidth="1"/>
    <col min="8204" max="8204" width="17.140625" style="2" customWidth="1"/>
    <col min="8205" max="8205" width="0.85546875" style="2" customWidth="1"/>
    <col min="8206" max="8206" width="9.140625" style="2" customWidth="1"/>
    <col min="8207" max="8207" width="43.42578125" style="2" customWidth="1"/>
    <col min="8208" max="8208" width="9.140625" style="2"/>
    <col min="8209" max="8216" width="9.140625" style="2" customWidth="1"/>
    <col min="8217" max="8217" width="8.85546875" style="2" customWidth="1"/>
    <col min="8218" max="8219" width="0" style="2" hidden="1" customWidth="1"/>
    <col min="8220" max="8448" width="9.140625" style="2"/>
    <col min="8449" max="8449" width="1.42578125" style="2" customWidth="1"/>
    <col min="8450" max="8450" width="4.28515625" style="2" customWidth="1"/>
    <col min="8451" max="8451" width="16" style="2" customWidth="1"/>
    <col min="8452" max="8452" width="32.7109375" style="2" customWidth="1"/>
    <col min="8453" max="8459" width="7.7109375" style="2" customWidth="1"/>
    <col min="8460" max="8460" width="17.140625" style="2" customWidth="1"/>
    <col min="8461" max="8461" width="0.85546875" style="2" customWidth="1"/>
    <col min="8462" max="8462" width="9.140625" style="2" customWidth="1"/>
    <col min="8463" max="8463" width="43.42578125" style="2" customWidth="1"/>
    <col min="8464" max="8464" width="9.140625" style="2"/>
    <col min="8465" max="8472" width="9.140625" style="2" customWidth="1"/>
    <col min="8473" max="8473" width="8.85546875" style="2" customWidth="1"/>
    <col min="8474" max="8475" width="0" style="2" hidden="1" customWidth="1"/>
    <col min="8476" max="8704" width="9.140625" style="2"/>
    <col min="8705" max="8705" width="1.42578125" style="2" customWidth="1"/>
    <col min="8706" max="8706" width="4.28515625" style="2" customWidth="1"/>
    <col min="8707" max="8707" width="16" style="2" customWidth="1"/>
    <col min="8708" max="8708" width="32.7109375" style="2" customWidth="1"/>
    <col min="8709" max="8715" width="7.7109375" style="2" customWidth="1"/>
    <col min="8716" max="8716" width="17.140625" style="2" customWidth="1"/>
    <col min="8717" max="8717" width="0.85546875" style="2" customWidth="1"/>
    <col min="8718" max="8718" width="9.140625" style="2" customWidth="1"/>
    <col min="8719" max="8719" width="43.42578125" style="2" customWidth="1"/>
    <col min="8720" max="8720" width="9.140625" style="2"/>
    <col min="8721" max="8728" width="9.140625" style="2" customWidth="1"/>
    <col min="8729" max="8729" width="8.85546875" style="2" customWidth="1"/>
    <col min="8730" max="8731" width="0" style="2" hidden="1" customWidth="1"/>
    <col min="8732" max="8960" width="9.140625" style="2"/>
    <col min="8961" max="8961" width="1.42578125" style="2" customWidth="1"/>
    <col min="8962" max="8962" width="4.28515625" style="2" customWidth="1"/>
    <col min="8963" max="8963" width="16" style="2" customWidth="1"/>
    <col min="8964" max="8964" width="32.7109375" style="2" customWidth="1"/>
    <col min="8965" max="8971" width="7.7109375" style="2" customWidth="1"/>
    <col min="8972" max="8972" width="17.140625" style="2" customWidth="1"/>
    <col min="8973" max="8973" width="0.85546875" style="2" customWidth="1"/>
    <col min="8974" max="8974" width="9.140625" style="2" customWidth="1"/>
    <col min="8975" max="8975" width="43.42578125" style="2" customWidth="1"/>
    <col min="8976" max="8976" width="9.140625" style="2"/>
    <col min="8977" max="8984" width="9.140625" style="2" customWidth="1"/>
    <col min="8985" max="8985" width="8.85546875" style="2" customWidth="1"/>
    <col min="8986" max="8987" width="0" style="2" hidden="1" customWidth="1"/>
    <col min="8988" max="9216" width="9.140625" style="2"/>
    <col min="9217" max="9217" width="1.42578125" style="2" customWidth="1"/>
    <col min="9218" max="9218" width="4.28515625" style="2" customWidth="1"/>
    <col min="9219" max="9219" width="16" style="2" customWidth="1"/>
    <col min="9220" max="9220" width="32.7109375" style="2" customWidth="1"/>
    <col min="9221" max="9227" width="7.7109375" style="2" customWidth="1"/>
    <col min="9228" max="9228" width="17.140625" style="2" customWidth="1"/>
    <col min="9229" max="9229" width="0.85546875" style="2" customWidth="1"/>
    <col min="9230" max="9230" width="9.140625" style="2" customWidth="1"/>
    <col min="9231" max="9231" width="43.42578125" style="2" customWidth="1"/>
    <col min="9232" max="9232" width="9.140625" style="2"/>
    <col min="9233" max="9240" width="9.140625" style="2" customWidth="1"/>
    <col min="9241" max="9241" width="8.85546875" style="2" customWidth="1"/>
    <col min="9242" max="9243" width="0" style="2" hidden="1" customWidth="1"/>
    <col min="9244" max="9472" width="9.140625" style="2"/>
    <col min="9473" max="9473" width="1.42578125" style="2" customWidth="1"/>
    <col min="9474" max="9474" width="4.28515625" style="2" customWidth="1"/>
    <col min="9475" max="9475" width="16" style="2" customWidth="1"/>
    <col min="9476" max="9476" width="32.7109375" style="2" customWidth="1"/>
    <col min="9477" max="9483" width="7.7109375" style="2" customWidth="1"/>
    <col min="9484" max="9484" width="17.140625" style="2" customWidth="1"/>
    <col min="9485" max="9485" width="0.85546875" style="2" customWidth="1"/>
    <col min="9486" max="9486" width="9.140625" style="2" customWidth="1"/>
    <col min="9487" max="9487" width="43.42578125" style="2" customWidth="1"/>
    <col min="9488" max="9488" width="9.140625" style="2"/>
    <col min="9489" max="9496" width="9.140625" style="2" customWidth="1"/>
    <col min="9497" max="9497" width="8.85546875" style="2" customWidth="1"/>
    <col min="9498" max="9499" width="0" style="2" hidden="1" customWidth="1"/>
    <col min="9500" max="9728" width="9.140625" style="2"/>
    <col min="9729" max="9729" width="1.42578125" style="2" customWidth="1"/>
    <col min="9730" max="9730" width="4.28515625" style="2" customWidth="1"/>
    <col min="9731" max="9731" width="16" style="2" customWidth="1"/>
    <col min="9732" max="9732" width="32.7109375" style="2" customWidth="1"/>
    <col min="9733" max="9739" width="7.7109375" style="2" customWidth="1"/>
    <col min="9740" max="9740" width="17.140625" style="2" customWidth="1"/>
    <col min="9741" max="9741" width="0.85546875" style="2" customWidth="1"/>
    <col min="9742" max="9742" width="9.140625" style="2" customWidth="1"/>
    <col min="9743" max="9743" width="43.42578125" style="2" customWidth="1"/>
    <col min="9744" max="9744" width="9.140625" style="2"/>
    <col min="9745" max="9752" width="9.140625" style="2" customWidth="1"/>
    <col min="9753" max="9753" width="8.85546875" style="2" customWidth="1"/>
    <col min="9754" max="9755" width="0" style="2" hidden="1" customWidth="1"/>
    <col min="9756" max="9984" width="9.140625" style="2"/>
    <col min="9985" max="9985" width="1.42578125" style="2" customWidth="1"/>
    <col min="9986" max="9986" width="4.28515625" style="2" customWidth="1"/>
    <col min="9987" max="9987" width="16" style="2" customWidth="1"/>
    <col min="9988" max="9988" width="32.7109375" style="2" customWidth="1"/>
    <col min="9989" max="9995" width="7.7109375" style="2" customWidth="1"/>
    <col min="9996" max="9996" width="17.140625" style="2" customWidth="1"/>
    <col min="9997" max="9997" width="0.85546875" style="2" customWidth="1"/>
    <col min="9998" max="9998" width="9.140625" style="2" customWidth="1"/>
    <col min="9999" max="9999" width="43.42578125" style="2" customWidth="1"/>
    <col min="10000" max="10000" width="9.140625" style="2"/>
    <col min="10001" max="10008" width="9.140625" style="2" customWidth="1"/>
    <col min="10009" max="10009" width="8.85546875" style="2" customWidth="1"/>
    <col min="10010" max="10011" width="0" style="2" hidden="1" customWidth="1"/>
    <col min="10012" max="10240" width="9.140625" style="2"/>
    <col min="10241" max="10241" width="1.42578125" style="2" customWidth="1"/>
    <col min="10242" max="10242" width="4.28515625" style="2" customWidth="1"/>
    <col min="10243" max="10243" width="16" style="2" customWidth="1"/>
    <col min="10244" max="10244" width="32.7109375" style="2" customWidth="1"/>
    <col min="10245" max="10251" width="7.7109375" style="2" customWidth="1"/>
    <col min="10252" max="10252" width="17.140625" style="2" customWidth="1"/>
    <col min="10253" max="10253" width="0.85546875" style="2" customWidth="1"/>
    <col min="10254" max="10254" width="9.140625" style="2" customWidth="1"/>
    <col min="10255" max="10255" width="43.42578125" style="2" customWidth="1"/>
    <col min="10256" max="10256" width="9.140625" style="2"/>
    <col min="10257" max="10264" width="9.140625" style="2" customWidth="1"/>
    <col min="10265" max="10265" width="8.85546875" style="2" customWidth="1"/>
    <col min="10266" max="10267" width="0" style="2" hidden="1" customWidth="1"/>
    <col min="10268" max="10496" width="9.140625" style="2"/>
    <col min="10497" max="10497" width="1.42578125" style="2" customWidth="1"/>
    <col min="10498" max="10498" width="4.28515625" style="2" customWidth="1"/>
    <col min="10499" max="10499" width="16" style="2" customWidth="1"/>
    <col min="10500" max="10500" width="32.7109375" style="2" customWidth="1"/>
    <col min="10501" max="10507" width="7.7109375" style="2" customWidth="1"/>
    <col min="10508" max="10508" width="17.140625" style="2" customWidth="1"/>
    <col min="10509" max="10509" width="0.85546875" style="2" customWidth="1"/>
    <col min="10510" max="10510" width="9.140625" style="2" customWidth="1"/>
    <col min="10511" max="10511" width="43.42578125" style="2" customWidth="1"/>
    <col min="10512" max="10512" width="9.140625" style="2"/>
    <col min="10513" max="10520" width="9.140625" style="2" customWidth="1"/>
    <col min="10521" max="10521" width="8.85546875" style="2" customWidth="1"/>
    <col min="10522" max="10523" width="0" style="2" hidden="1" customWidth="1"/>
    <col min="10524" max="10752" width="9.140625" style="2"/>
    <col min="10753" max="10753" width="1.42578125" style="2" customWidth="1"/>
    <col min="10754" max="10754" width="4.28515625" style="2" customWidth="1"/>
    <col min="10755" max="10755" width="16" style="2" customWidth="1"/>
    <col min="10756" max="10756" width="32.7109375" style="2" customWidth="1"/>
    <col min="10757" max="10763" width="7.7109375" style="2" customWidth="1"/>
    <col min="10764" max="10764" width="17.140625" style="2" customWidth="1"/>
    <col min="10765" max="10765" width="0.85546875" style="2" customWidth="1"/>
    <col min="10766" max="10766" width="9.140625" style="2" customWidth="1"/>
    <col min="10767" max="10767" width="43.42578125" style="2" customWidth="1"/>
    <col min="10768" max="10768" width="9.140625" style="2"/>
    <col min="10769" max="10776" width="9.140625" style="2" customWidth="1"/>
    <col min="10777" max="10777" width="8.85546875" style="2" customWidth="1"/>
    <col min="10778" max="10779" width="0" style="2" hidden="1" customWidth="1"/>
    <col min="10780" max="11008" width="9.140625" style="2"/>
    <col min="11009" max="11009" width="1.42578125" style="2" customWidth="1"/>
    <col min="11010" max="11010" width="4.28515625" style="2" customWidth="1"/>
    <col min="11011" max="11011" width="16" style="2" customWidth="1"/>
    <col min="11012" max="11012" width="32.7109375" style="2" customWidth="1"/>
    <col min="11013" max="11019" width="7.7109375" style="2" customWidth="1"/>
    <col min="11020" max="11020" width="17.140625" style="2" customWidth="1"/>
    <col min="11021" max="11021" width="0.85546875" style="2" customWidth="1"/>
    <col min="11022" max="11022" width="9.140625" style="2" customWidth="1"/>
    <col min="11023" max="11023" width="43.42578125" style="2" customWidth="1"/>
    <col min="11024" max="11024" width="9.140625" style="2"/>
    <col min="11025" max="11032" width="9.140625" style="2" customWidth="1"/>
    <col min="11033" max="11033" width="8.85546875" style="2" customWidth="1"/>
    <col min="11034" max="11035" width="0" style="2" hidden="1" customWidth="1"/>
    <col min="11036" max="11264" width="9.140625" style="2"/>
    <col min="11265" max="11265" width="1.42578125" style="2" customWidth="1"/>
    <col min="11266" max="11266" width="4.28515625" style="2" customWidth="1"/>
    <col min="11267" max="11267" width="16" style="2" customWidth="1"/>
    <col min="11268" max="11268" width="32.7109375" style="2" customWidth="1"/>
    <col min="11269" max="11275" width="7.7109375" style="2" customWidth="1"/>
    <col min="11276" max="11276" width="17.140625" style="2" customWidth="1"/>
    <col min="11277" max="11277" width="0.85546875" style="2" customWidth="1"/>
    <col min="11278" max="11278" width="9.140625" style="2" customWidth="1"/>
    <col min="11279" max="11279" width="43.42578125" style="2" customWidth="1"/>
    <col min="11280" max="11280" width="9.140625" style="2"/>
    <col min="11281" max="11288" width="9.140625" style="2" customWidth="1"/>
    <col min="11289" max="11289" width="8.85546875" style="2" customWidth="1"/>
    <col min="11290" max="11291" width="0" style="2" hidden="1" customWidth="1"/>
    <col min="11292" max="11520" width="9.140625" style="2"/>
    <col min="11521" max="11521" width="1.42578125" style="2" customWidth="1"/>
    <col min="11522" max="11522" width="4.28515625" style="2" customWidth="1"/>
    <col min="11523" max="11523" width="16" style="2" customWidth="1"/>
    <col min="11524" max="11524" width="32.7109375" style="2" customWidth="1"/>
    <col min="11525" max="11531" width="7.7109375" style="2" customWidth="1"/>
    <col min="11532" max="11532" width="17.140625" style="2" customWidth="1"/>
    <col min="11533" max="11533" width="0.85546875" style="2" customWidth="1"/>
    <col min="11534" max="11534" width="9.140625" style="2" customWidth="1"/>
    <col min="11535" max="11535" width="43.42578125" style="2" customWidth="1"/>
    <col min="11536" max="11536" width="9.140625" style="2"/>
    <col min="11537" max="11544" width="9.140625" style="2" customWidth="1"/>
    <col min="11545" max="11545" width="8.85546875" style="2" customWidth="1"/>
    <col min="11546" max="11547" width="0" style="2" hidden="1" customWidth="1"/>
    <col min="11548" max="11776" width="9.140625" style="2"/>
    <col min="11777" max="11777" width="1.42578125" style="2" customWidth="1"/>
    <col min="11778" max="11778" width="4.28515625" style="2" customWidth="1"/>
    <col min="11779" max="11779" width="16" style="2" customWidth="1"/>
    <col min="11780" max="11780" width="32.7109375" style="2" customWidth="1"/>
    <col min="11781" max="11787" width="7.7109375" style="2" customWidth="1"/>
    <col min="11788" max="11788" width="17.140625" style="2" customWidth="1"/>
    <col min="11789" max="11789" width="0.85546875" style="2" customWidth="1"/>
    <col min="11790" max="11790" width="9.140625" style="2" customWidth="1"/>
    <col min="11791" max="11791" width="43.42578125" style="2" customWidth="1"/>
    <col min="11792" max="11792" width="9.140625" style="2"/>
    <col min="11793" max="11800" width="9.140625" style="2" customWidth="1"/>
    <col min="11801" max="11801" width="8.85546875" style="2" customWidth="1"/>
    <col min="11802" max="11803" width="0" style="2" hidden="1" customWidth="1"/>
    <col min="11804" max="12032" width="9.140625" style="2"/>
    <col min="12033" max="12033" width="1.42578125" style="2" customWidth="1"/>
    <col min="12034" max="12034" width="4.28515625" style="2" customWidth="1"/>
    <col min="12035" max="12035" width="16" style="2" customWidth="1"/>
    <col min="12036" max="12036" width="32.7109375" style="2" customWidth="1"/>
    <col min="12037" max="12043" width="7.7109375" style="2" customWidth="1"/>
    <col min="12044" max="12044" width="17.140625" style="2" customWidth="1"/>
    <col min="12045" max="12045" width="0.85546875" style="2" customWidth="1"/>
    <col min="12046" max="12046" width="9.140625" style="2" customWidth="1"/>
    <col min="12047" max="12047" width="43.42578125" style="2" customWidth="1"/>
    <col min="12048" max="12048" width="9.140625" style="2"/>
    <col min="12049" max="12056" width="9.140625" style="2" customWidth="1"/>
    <col min="12057" max="12057" width="8.85546875" style="2" customWidth="1"/>
    <col min="12058" max="12059" width="0" style="2" hidden="1" customWidth="1"/>
    <col min="12060" max="12288" width="9.140625" style="2"/>
    <col min="12289" max="12289" width="1.42578125" style="2" customWidth="1"/>
    <col min="12290" max="12290" width="4.28515625" style="2" customWidth="1"/>
    <col min="12291" max="12291" width="16" style="2" customWidth="1"/>
    <col min="12292" max="12292" width="32.7109375" style="2" customWidth="1"/>
    <col min="12293" max="12299" width="7.7109375" style="2" customWidth="1"/>
    <col min="12300" max="12300" width="17.140625" style="2" customWidth="1"/>
    <col min="12301" max="12301" width="0.85546875" style="2" customWidth="1"/>
    <col min="12302" max="12302" width="9.140625" style="2" customWidth="1"/>
    <col min="12303" max="12303" width="43.42578125" style="2" customWidth="1"/>
    <col min="12304" max="12304" width="9.140625" style="2"/>
    <col min="12305" max="12312" width="9.140625" style="2" customWidth="1"/>
    <col min="12313" max="12313" width="8.85546875" style="2" customWidth="1"/>
    <col min="12314" max="12315" width="0" style="2" hidden="1" customWidth="1"/>
    <col min="12316" max="12544" width="9.140625" style="2"/>
    <col min="12545" max="12545" width="1.42578125" style="2" customWidth="1"/>
    <col min="12546" max="12546" width="4.28515625" style="2" customWidth="1"/>
    <col min="12547" max="12547" width="16" style="2" customWidth="1"/>
    <col min="12548" max="12548" width="32.7109375" style="2" customWidth="1"/>
    <col min="12549" max="12555" width="7.7109375" style="2" customWidth="1"/>
    <col min="12556" max="12556" width="17.140625" style="2" customWidth="1"/>
    <col min="12557" max="12557" width="0.85546875" style="2" customWidth="1"/>
    <col min="12558" max="12558" width="9.140625" style="2" customWidth="1"/>
    <col min="12559" max="12559" width="43.42578125" style="2" customWidth="1"/>
    <col min="12560" max="12560" width="9.140625" style="2"/>
    <col min="12561" max="12568" width="9.140625" style="2" customWidth="1"/>
    <col min="12569" max="12569" width="8.85546875" style="2" customWidth="1"/>
    <col min="12570" max="12571" width="0" style="2" hidden="1" customWidth="1"/>
    <col min="12572" max="12800" width="9.140625" style="2"/>
    <col min="12801" max="12801" width="1.42578125" style="2" customWidth="1"/>
    <col min="12802" max="12802" width="4.28515625" style="2" customWidth="1"/>
    <col min="12803" max="12803" width="16" style="2" customWidth="1"/>
    <col min="12804" max="12804" width="32.7109375" style="2" customWidth="1"/>
    <col min="12805" max="12811" width="7.7109375" style="2" customWidth="1"/>
    <col min="12812" max="12812" width="17.140625" style="2" customWidth="1"/>
    <col min="12813" max="12813" width="0.85546875" style="2" customWidth="1"/>
    <col min="12814" max="12814" width="9.140625" style="2" customWidth="1"/>
    <col min="12815" max="12815" width="43.42578125" style="2" customWidth="1"/>
    <col min="12816" max="12816" width="9.140625" style="2"/>
    <col min="12817" max="12824" width="9.140625" style="2" customWidth="1"/>
    <col min="12825" max="12825" width="8.85546875" style="2" customWidth="1"/>
    <col min="12826" max="12827" width="0" style="2" hidden="1" customWidth="1"/>
    <col min="12828" max="13056" width="9.140625" style="2"/>
    <col min="13057" max="13057" width="1.42578125" style="2" customWidth="1"/>
    <col min="13058" max="13058" width="4.28515625" style="2" customWidth="1"/>
    <col min="13059" max="13059" width="16" style="2" customWidth="1"/>
    <col min="13060" max="13060" width="32.7109375" style="2" customWidth="1"/>
    <col min="13061" max="13067" width="7.7109375" style="2" customWidth="1"/>
    <col min="13068" max="13068" width="17.140625" style="2" customWidth="1"/>
    <col min="13069" max="13069" width="0.85546875" style="2" customWidth="1"/>
    <col min="13070" max="13070" width="9.140625" style="2" customWidth="1"/>
    <col min="13071" max="13071" width="43.42578125" style="2" customWidth="1"/>
    <col min="13072" max="13072" width="9.140625" style="2"/>
    <col min="13073" max="13080" width="9.140625" style="2" customWidth="1"/>
    <col min="13081" max="13081" width="8.85546875" style="2" customWidth="1"/>
    <col min="13082" max="13083" width="0" style="2" hidden="1" customWidth="1"/>
    <col min="13084" max="13312" width="9.140625" style="2"/>
    <col min="13313" max="13313" width="1.42578125" style="2" customWidth="1"/>
    <col min="13314" max="13314" width="4.28515625" style="2" customWidth="1"/>
    <col min="13315" max="13315" width="16" style="2" customWidth="1"/>
    <col min="13316" max="13316" width="32.7109375" style="2" customWidth="1"/>
    <col min="13317" max="13323" width="7.7109375" style="2" customWidth="1"/>
    <col min="13324" max="13324" width="17.140625" style="2" customWidth="1"/>
    <col min="13325" max="13325" width="0.85546875" style="2" customWidth="1"/>
    <col min="13326" max="13326" width="9.140625" style="2" customWidth="1"/>
    <col min="13327" max="13327" width="43.42578125" style="2" customWidth="1"/>
    <col min="13328" max="13328" width="9.140625" style="2"/>
    <col min="13329" max="13336" width="9.140625" style="2" customWidth="1"/>
    <col min="13337" max="13337" width="8.85546875" style="2" customWidth="1"/>
    <col min="13338" max="13339" width="0" style="2" hidden="1" customWidth="1"/>
    <col min="13340" max="13568" width="9.140625" style="2"/>
    <col min="13569" max="13569" width="1.42578125" style="2" customWidth="1"/>
    <col min="13570" max="13570" width="4.28515625" style="2" customWidth="1"/>
    <col min="13571" max="13571" width="16" style="2" customWidth="1"/>
    <col min="13572" max="13572" width="32.7109375" style="2" customWidth="1"/>
    <col min="13573" max="13579" width="7.7109375" style="2" customWidth="1"/>
    <col min="13580" max="13580" width="17.140625" style="2" customWidth="1"/>
    <col min="13581" max="13581" width="0.85546875" style="2" customWidth="1"/>
    <col min="13582" max="13582" width="9.140625" style="2" customWidth="1"/>
    <col min="13583" max="13583" width="43.42578125" style="2" customWidth="1"/>
    <col min="13584" max="13584" width="9.140625" style="2"/>
    <col min="13585" max="13592" width="9.140625" style="2" customWidth="1"/>
    <col min="13593" max="13593" width="8.85546875" style="2" customWidth="1"/>
    <col min="13594" max="13595" width="0" style="2" hidden="1" customWidth="1"/>
    <col min="13596" max="13824" width="9.140625" style="2"/>
    <col min="13825" max="13825" width="1.42578125" style="2" customWidth="1"/>
    <col min="13826" max="13826" width="4.28515625" style="2" customWidth="1"/>
    <col min="13827" max="13827" width="16" style="2" customWidth="1"/>
    <col min="13828" max="13828" width="32.7109375" style="2" customWidth="1"/>
    <col min="13829" max="13835" width="7.7109375" style="2" customWidth="1"/>
    <col min="13836" max="13836" width="17.140625" style="2" customWidth="1"/>
    <col min="13837" max="13837" width="0.85546875" style="2" customWidth="1"/>
    <col min="13838" max="13838" width="9.140625" style="2" customWidth="1"/>
    <col min="13839" max="13839" width="43.42578125" style="2" customWidth="1"/>
    <col min="13840" max="13840" width="9.140625" style="2"/>
    <col min="13841" max="13848" width="9.140625" style="2" customWidth="1"/>
    <col min="13849" max="13849" width="8.85546875" style="2" customWidth="1"/>
    <col min="13850" max="13851" width="0" style="2" hidden="1" customWidth="1"/>
    <col min="13852" max="14080" width="9.140625" style="2"/>
    <col min="14081" max="14081" width="1.42578125" style="2" customWidth="1"/>
    <col min="14082" max="14082" width="4.28515625" style="2" customWidth="1"/>
    <col min="14083" max="14083" width="16" style="2" customWidth="1"/>
    <col min="14084" max="14084" width="32.7109375" style="2" customWidth="1"/>
    <col min="14085" max="14091" width="7.7109375" style="2" customWidth="1"/>
    <col min="14092" max="14092" width="17.140625" style="2" customWidth="1"/>
    <col min="14093" max="14093" width="0.85546875" style="2" customWidth="1"/>
    <col min="14094" max="14094" width="9.140625" style="2" customWidth="1"/>
    <col min="14095" max="14095" width="43.42578125" style="2" customWidth="1"/>
    <col min="14096" max="14096" width="9.140625" style="2"/>
    <col min="14097" max="14104" width="9.140625" style="2" customWidth="1"/>
    <col min="14105" max="14105" width="8.85546875" style="2" customWidth="1"/>
    <col min="14106" max="14107" width="0" style="2" hidden="1" customWidth="1"/>
    <col min="14108" max="14336" width="9.140625" style="2"/>
    <col min="14337" max="14337" width="1.42578125" style="2" customWidth="1"/>
    <col min="14338" max="14338" width="4.28515625" style="2" customWidth="1"/>
    <col min="14339" max="14339" width="16" style="2" customWidth="1"/>
    <col min="14340" max="14340" width="32.7109375" style="2" customWidth="1"/>
    <col min="14341" max="14347" width="7.7109375" style="2" customWidth="1"/>
    <col min="14348" max="14348" width="17.140625" style="2" customWidth="1"/>
    <col min="14349" max="14349" width="0.85546875" style="2" customWidth="1"/>
    <col min="14350" max="14350" width="9.140625" style="2" customWidth="1"/>
    <col min="14351" max="14351" width="43.42578125" style="2" customWidth="1"/>
    <col min="14352" max="14352" width="9.140625" style="2"/>
    <col min="14353" max="14360" width="9.140625" style="2" customWidth="1"/>
    <col min="14361" max="14361" width="8.85546875" style="2" customWidth="1"/>
    <col min="14362" max="14363" width="0" style="2" hidden="1" customWidth="1"/>
    <col min="14364" max="14592" width="9.140625" style="2"/>
    <col min="14593" max="14593" width="1.42578125" style="2" customWidth="1"/>
    <col min="14594" max="14594" width="4.28515625" style="2" customWidth="1"/>
    <col min="14595" max="14595" width="16" style="2" customWidth="1"/>
    <col min="14596" max="14596" width="32.7109375" style="2" customWidth="1"/>
    <col min="14597" max="14603" width="7.7109375" style="2" customWidth="1"/>
    <col min="14604" max="14604" width="17.140625" style="2" customWidth="1"/>
    <col min="14605" max="14605" width="0.85546875" style="2" customWidth="1"/>
    <col min="14606" max="14606" width="9.140625" style="2" customWidth="1"/>
    <col min="14607" max="14607" width="43.42578125" style="2" customWidth="1"/>
    <col min="14608" max="14608" width="9.140625" style="2"/>
    <col min="14609" max="14616" width="9.140625" style="2" customWidth="1"/>
    <col min="14617" max="14617" width="8.85546875" style="2" customWidth="1"/>
    <col min="14618" max="14619" width="0" style="2" hidden="1" customWidth="1"/>
    <col min="14620" max="14848" width="9.140625" style="2"/>
    <col min="14849" max="14849" width="1.42578125" style="2" customWidth="1"/>
    <col min="14850" max="14850" width="4.28515625" style="2" customWidth="1"/>
    <col min="14851" max="14851" width="16" style="2" customWidth="1"/>
    <col min="14852" max="14852" width="32.7109375" style="2" customWidth="1"/>
    <col min="14853" max="14859" width="7.7109375" style="2" customWidth="1"/>
    <col min="14860" max="14860" width="17.140625" style="2" customWidth="1"/>
    <col min="14861" max="14861" width="0.85546875" style="2" customWidth="1"/>
    <col min="14862" max="14862" width="9.140625" style="2" customWidth="1"/>
    <col min="14863" max="14863" width="43.42578125" style="2" customWidth="1"/>
    <col min="14864" max="14864" width="9.140625" style="2"/>
    <col min="14865" max="14872" width="9.140625" style="2" customWidth="1"/>
    <col min="14873" max="14873" width="8.85546875" style="2" customWidth="1"/>
    <col min="14874" max="14875" width="0" style="2" hidden="1" customWidth="1"/>
    <col min="14876" max="15104" width="9.140625" style="2"/>
    <col min="15105" max="15105" width="1.42578125" style="2" customWidth="1"/>
    <col min="15106" max="15106" width="4.28515625" style="2" customWidth="1"/>
    <col min="15107" max="15107" width="16" style="2" customWidth="1"/>
    <col min="15108" max="15108" width="32.7109375" style="2" customWidth="1"/>
    <col min="15109" max="15115" width="7.7109375" style="2" customWidth="1"/>
    <col min="15116" max="15116" width="17.140625" style="2" customWidth="1"/>
    <col min="15117" max="15117" width="0.85546875" style="2" customWidth="1"/>
    <col min="15118" max="15118" width="9.140625" style="2" customWidth="1"/>
    <col min="15119" max="15119" width="43.42578125" style="2" customWidth="1"/>
    <col min="15120" max="15120" width="9.140625" style="2"/>
    <col min="15121" max="15128" width="9.140625" style="2" customWidth="1"/>
    <col min="15129" max="15129" width="8.85546875" style="2" customWidth="1"/>
    <col min="15130" max="15131" width="0" style="2" hidden="1" customWidth="1"/>
    <col min="15132" max="15360" width="9.140625" style="2"/>
    <col min="15361" max="15361" width="1.42578125" style="2" customWidth="1"/>
    <col min="15362" max="15362" width="4.28515625" style="2" customWidth="1"/>
    <col min="15363" max="15363" width="16" style="2" customWidth="1"/>
    <col min="15364" max="15364" width="32.7109375" style="2" customWidth="1"/>
    <col min="15365" max="15371" width="7.7109375" style="2" customWidth="1"/>
    <col min="15372" max="15372" width="17.140625" style="2" customWidth="1"/>
    <col min="15373" max="15373" width="0.85546875" style="2" customWidth="1"/>
    <col min="15374" max="15374" width="9.140625" style="2" customWidth="1"/>
    <col min="15375" max="15375" width="43.42578125" style="2" customWidth="1"/>
    <col min="15376" max="15376" width="9.140625" style="2"/>
    <col min="15377" max="15384" width="9.140625" style="2" customWidth="1"/>
    <col min="15385" max="15385" width="8.85546875" style="2" customWidth="1"/>
    <col min="15386" max="15387" width="0" style="2" hidden="1" customWidth="1"/>
    <col min="15388" max="15616" width="9.140625" style="2"/>
    <col min="15617" max="15617" width="1.42578125" style="2" customWidth="1"/>
    <col min="15618" max="15618" width="4.28515625" style="2" customWidth="1"/>
    <col min="15619" max="15619" width="16" style="2" customWidth="1"/>
    <col min="15620" max="15620" width="32.7109375" style="2" customWidth="1"/>
    <col min="15621" max="15627" width="7.7109375" style="2" customWidth="1"/>
    <col min="15628" max="15628" width="17.140625" style="2" customWidth="1"/>
    <col min="15629" max="15629" width="0.85546875" style="2" customWidth="1"/>
    <col min="15630" max="15630" width="9.140625" style="2" customWidth="1"/>
    <col min="15631" max="15631" width="43.42578125" style="2" customWidth="1"/>
    <col min="15632" max="15632" width="9.140625" style="2"/>
    <col min="15633" max="15640" width="9.140625" style="2" customWidth="1"/>
    <col min="15641" max="15641" width="8.85546875" style="2" customWidth="1"/>
    <col min="15642" max="15643" width="0" style="2" hidden="1" customWidth="1"/>
    <col min="15644" max="15872" width="9.140625" style="2"/>
    <col min="15873" max="15873" width="1.42578125" style="2" customWidth="1"/>
    <col min="15874" max="15874" width="4.28515625" style="2" customWidth="1"/>
    <col min="15875" max="15875" width="16" style="2" customWidth="1"/>
    <col min="15876" max="15876" width="32.7109375" style="2" customWidth="1"/>
    <col min="15877" max="15883" width="7.7109375" style="2" customWidth="1"/>
    <col min="15884" max="15884" width="17.140625" style="2" customWidth="1"/>
    <col min="15885" max="15885" width="0.85546875" style="2" customWidth="1"/>
    <col min="15886" max="15886" width="9.140625" style="2" customWidth="1"/>
    <col min="15887" max="15887" width="43.42578125" style="2" customWidth="1"/>
    <col min="15888" max="15888" width="9.140625" style="2"/>
    <col min="15889" max="15896" width="9.140625" style="2" customWidth="1"/>
    <col min="15897" max="15897" width="8.85546875" style="2" customWidth="1"/>
    <col min="15898" max="15899" width="0" style="2" hidden="1" customWidth="1"/>
    <col min="15900" max="16128" width="9.140625" style="2"/>
    <col min="16129" max="16129" width="1.42578125" style="2" customWidth="1"/>
    <col min="16130" max="16130" width="4.28515625" style="2" customWidth="1"/>
    <col min="16131" max="16131" width="16" style="2" customWidth="1"/>
    <col min="16132" max="16132" width="32.7109375" style="2" customWidth="1"/>
    <col min="16133" max="16139" width="7.7109375" style="2" customWidth="1"/>
    <col min="16140" max="16140" width="17.140625" style="2" customWidth="1"/>
    <col min="16141" max="16141" width="0.85546875" style="2" customWidth="1"/>
    <col min="16142" max="16142" width="9.140625" style="2" customWidth="1"/>
    <col min="16143" max="16143" width="43.42578125" style="2" customWidth="1"/>
    <col min="16144" max="16144" width="9.140625" style="2"/>
    <col min="16145" max="16152" width="9.140625" style="2" customWidth="1"/>
    <col min="16153" max="16153" width="8.85546875" style="2" customWidth="1"/>
    <col min="16154" max="16155" width="0" style="2" hidden="1" customWidth="1"/>
    <col min="16156" max="16384" width="9.140625" style="2"/>
  </cols>
  <sheetData>
    <row r="1" spans="1:16" ht="15" x14ac:dyDescent="0.25">
      <c r="A1" s="1"/>
      <c r="B1" s="1"/>
      <c r="H1" s="3"/>
      <c r="I1" s="3"/>
      <c r="J1" s="3"/>
      <c r="K1" s="3"/>
      <c r="L1" s="4"/>
    </row>
    <row r="2" spans="1:16" ht="15.75" x14ac:dyDescent="0.25">
      <c r="A2" s="1"/>
      <c r="B2" s="92" t="s">
        <v>0</v>
      </c>
      <c r="C2" s="92"/>
      <c r="D2" s="5"/>
      <c r="E2" s="5"/>
      <c r="F2" s="92" t="s">
        <v>1</v>
      </c>
      <c r="G2" s="93"/>
      <c r="H2" s="93"/>
      <c r="I2" s="93"/>
      <c r="J2" s="93"/>
      <c r="K2" s="93"/>
      <c r="L2" s="93"/>
    </row>
    <row r="3" spans="1:16" ht="15.75" x14ac:dyDescent="0.25">
      <c r="A3" s="1"/>
      <c r="B3" s="93" t="s">
        <v>202</v>
      </c>
      <c r="C3" s="93"/>
      <c r="D3" s="93"/>
      <c r="E3" s="93"/>
      <c r="F3" s="93" t="s">
        <v>3</v>
      </c>
      <c r="G3" s="93"/>
      <c r="H3" s="93"/>
      <c r="I3" s="93"/>
      <c r="J3" s="93"/>
      <c r="K3" s="93"/>
      <c r="L3" s="93"/>
    </row>
    <row r="4" spans="1:16" ht="15.75" x14ac:dyDescent="0.25">
      <c r="A4" s="1"/>
      <c r="B4" s="6" t="s">
        <v>201</v>
      </c>
      <c r="C4" s="6"/>
      <c r="D4" s="6"/>
      <c r="E4" s="5"/>
      <c r="F4" s="93" t="s">
        <v>200</v>
      </c>
      <c r="G4" s="93"/>
      <c r="H4" s="93"/>
      <c r="I4" s="93"/>
      <c r="J4" s="93"/>
      <c r="K4" s="93"/>
      <c r="L4" s="93"/>
    </row>
    <row r="5" spans="1:16" ht="15.75" x14ac:dyDescent="0.25">
      <c r="A5" s="1"/>
      <c r="B5" s="95"/>
      <c r="C5" s="95"/>
      <c r="D5" s="95"/>
      <c r="E5" s="5"/>
      <c r="F5" s="93" t="s">
        <v>201</v>
      </c>
      <c r="G5" s="93"/>
      <c r="H5" s="93"/>
      <c r="I5" s="93"/>
      <c r="J5" s="93"/>
      <c r="K5" s="93"/>
      <c r="L5" s="93"/>
    </row>
    <row r="6" spans="1:16" ht="15.75" x14ac:dyDescent="0.25">
      <c r="A6" s="1"/>
      <c r="B6" s="6" t="s">
        <v>203</v>
      </c>
      <c r="C6" s="6"/>
      <c r="D6" s="5"/>
      <c r="E6" s="5"/>
      <c r="F6" s="73" t="s">
        <v>6</v>
      </c>
      <c r="G6" s="73"/>
      <c r="H6" s="73" t="s">
        <v>7</v>
      </c>
      <c r="I6" s="73"/>
      <c r="J6" s="73"/>
      <c r="K6" s="73"/>
      <c r="L6" s="73"/>
    </row>
    <row r="7" spans="1:16" ht="15.75" x14ac:dyDescent="0.25">
      <c r="A7" s="1"/>
      <c r="B7" s="2" t="s">
        <v>4</v>
      </c>
      <c r="C7" s="6"/>
      <c r="D7" s="5"/>
      <c r="E7" s="5"/>
      <c r="F7" s="73" t="s">
        <v>4</v>
      </c>
      <c r="G7" s="73"/>
      <c r="H7" s="73"/>
      <c r="I7" s="73"/>
      <c r="J7" s="73"/>
      <c r="K7" s="73"/>
      <c r="L7" s="73"/>
    </row>
    <row r="8" spans="1:16" ht="15.75" x14ac:dyDescent="0.25">
      <c r="A8" s="1"/>
      <c r="B8" s="6"/>
      <c r="C8" s="6"/>
      <c r="D8" s="5"/>
      <c r="E8" s="5"/>
      <c r="K8" s="73"/>
      <c r="L8" s="73"/>
    </row>
    <row r="9" spans="1:16" ht="18" customHeight="1" x14ac:dyDescent="0.25">
      <c r="A9" s="1"/>
      <c r="B9" s="6"/>
      <c r="C9" s="5"/>
      <c r="D9" s="5"/>
      <c r="E9" s="5"/>
      <c r="K9" s="6"/>
      <c r="L9" s="8"/>
    </row>
    <row r="10" spans="1:16" ht="108" customHeight="1" x14ac:dyDescent="0.25">
      <c r="A10" s="1"/>
      <c r="B10" s="1"/>
      <c r="H10" s="3"/>
      <c r="I10" s="3"/>
      <c r="J10" s="3"/>
      <c r="K10" s="3"/>
      <c r="L10" s="4"/>
    </row>
    <row r="11" spans="1:16" ht="20.25" customHeight="1" x14ac:dyDescent="0.3">
      <c r="A11" s="91" t="s">
        <v>8</v>
      </c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"/>
      <c r="N11" s="9"/>
      <c r="O11" s="9"/>
      <c r="P11" s="9"/>
    </row>
    <row r="12" spans="1:16" ht="19.5" customHeight="1" x14ac:dyDescent="0.2">
      <c r="A12" s="10" t="s">
        <v>9</v>
      </c>
      <c r="B12" s="94" t="s">
        <v>10</v>
      </c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"/>
      <c r="N12" s="9"/>
      <c r="O12" s="9"/>
      <c r="P12" s="9"/>
    </row>
    <row r="13" spans="1:16" ht="19.5" customHeight="1" x14ac:dyDescent="0.2">
      <c r="A13" s="11"/>
      <c r="B13" s="94" t="s">
        <v>11</v>
      </c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"/>
      <c r="N13" s="9"/>
      <c r="O13" s="9"/>
      <c r="P13" s="9"/>
    </row>
    <row r="14" spans="1:16" ht="19.5" customHeight="1" x14ac:dyDescent="0.2">
      <c r="A14" s="11"/>
      <c r="B14" s="94" t="s">
        <v>12</v>
      </c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"/>
      <c r="N14" s="9"/>
      <c r="O14" s="9"/>
      <c r="P14" s="9"/>
    </row>
    <row r="15" spans="1:16" ht="19.5" customHeight="1" x14ac:dyDescent="0.2">
      <c r="A15" s="11"/>
      <c r="B15" s="94" t="s">
        <v>13</v>
      </c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"/>
      <c r="N15" s="9"/>
      <c r="O15" s="9"/>
      <c r="P15" s="9"/>
    </row>
    <row r="16" spans="1:16" ht="19.5" customHeight="1" x14ac:dyDescent="0.3">
      <c r="A16" s="12"/>
      <c r="B16" s="91" t="s">
        <v>14</v>
      </c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"/>
      <c r="N16" s="9"/>
      <c r="O16" s="9"/>
      <c r="P16" s="9"/>
    </row>
    <row r="17" spans="1:25" ht="19.5" customHeight="1" x14ac:dyDescent="0.3">
      <c r="A17" s="72"/>
      <c r="B17" s="91" t="s">
        <v>240</v>
      </c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"/>
      <c r="N17" s="9"/>
      <c r="O17" s="9"/>
      <c r="P17" s="9"/>
    </row>
    <row r="18" spans="1:25" ht="7.5" customHeight="1" x14ac:dyDescent="0.2">
      <c r="A18" s="14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14"/>
      <c r="N18" s="9"/>
      <c r="O18" s="9"/>
      <c r="P18" s="9"/>
    </row>
    <row r="19" spans="1:25" ht="2.25" customHeight="1" x14ac:dyDescent="0.3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15"/>
      <c r="M19" s="9"/>
      <c r="N19" s="9"/>
      <c r="O19" s="9"/>
      <c r="P19" s="9"/>
    </row>
    <row r="20" spans="1:25" ht="30.75" customHeight="1" x14ac:dyDescent="0.2">
      <c r="A20" s="16"/>
      <c r="B20" s="97" t="s">
        <v>16</v>
      </c>
      <c r="C20" s="98" t="s">
        <v>17</v>
      </c>
      <c r="D20" s="98" t="s">
        <v>18</v>
      </c>
      <c r="E20" s="101" t="s">
        <v>19</v>
      </c>
      <c r="F20" s="102"/>
      <c r="G20" s="102"/>
      <c r="H20" s="102"/>
      <c r="I20" s="102"/>
      <c r="J20" s="102"/>
      <c r="K20" s="103"/>
      <c r="L20" s="97" t="s">
        <v>20</v>
      </c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spans="1:25" ht="17.25" customHeight="1" x14ac:dyDescent="0.25">
      <c r="A21" s="16"/>
      <c r="B21" s="97"/>
      <c r="C21" s="99"/>
      <c r="D21" s="99"/>
      <c r="E21" s="104" t="s">
        <v>21</v>
      </c>
      <c r="F21" s="105"/>
      <c r="G21" s="105"/>
      <c r="H21" s="106"/>
      <c r="I21" s="110" t="s">
        <v>197</v>
      </c>
      <c r="J21" s="111"/>
      <c r="K21" s="112" t="s">
        <v>22</v>
      </c>
      <c r="L21" s="9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spans="1:25" ht="57.75" customHeight="1" x14ac:dyDescent="0.2">
      <c r="A22" s="16"/>
      <c r="B22" s="97"/>
      <c r="C22" s="99"/>
      <c r="D22" s="99"/>
      <c r="E22" s="107"/>
      <c r="F22" s="108"/>
      <c r="G22" s="108"/>
      <c r="H22" s="109"/>
      <c r="I22" s="115" t="s">
        <v>23</v>
      </c>
      <c r="J22" s="116"/>
      <c r="K22" s="113"/>
      <c r="L22" s="9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spans="1:25" ht="15.75" customHeight="1" x14ac:dyDescent="0.2">
      <c r="A23" s="18"/>
      <c r="B23" s="97"/>
      <c r="C23" s="100"/>
      <c r="D23" s="100"/>
      <c r="E23" s="19" t="s">
        <v>24</v>
      </c>
      <c r="F23" s="20" t="s">
        <v>25</v>
      </c>
      <c r="G23" s="20" t="s">
        <v>26</v>
      </c>
      <c r="H23" s="20" t="s">
        <v>27</v>
      </c>
      <c r="I23" s="20" t="s">
        <v>25</v>
      </c>
      <c r="J23" s="20" t="s">
        <v>26</v>
      </c>
      <c r="K23" s="114"/>
      <c r="L23" s="97"/>
      <c r="P23" s="18"/>
      <c r="Q23" s="17"/>
      <c r="R23" s="17"/>
      <c r="S23" s="17"/>
      <c r="T23" s="17"/>
      <c r="U23" s="17"/>
      <c r="V23" s="17"/>
      <c r="W23" s="17"/>
      <c r="X23" s="17"/>
      <c r="Y23" s="17"/>
    </row>
    <row r="24" spans="1:25" ht="63" customHeight="1" x14ac:dyDescent="0.2">
      <c r="A24" s="18"/>
      <c r="B24" s="117" t="s">
        <v>28</v>
      </c>
      <c r="C24" s="118" t="s">
        <v>239</v>
      </c>
      <c r="D24" s="21" t="s">
        <v>242</v>
      </c>
      <c r="E24" s="22">
        <v>1.2</v>
      </c>
      <c r="F24" s="22">
        <v>1.2</v>
      </c>
      <c r="G24" s="22">
        <v>1.2</v>
      </c>
      <c r="H24" s="22">
        <v>1.2</v>
      </c>
      <c r="I24" s="22">
        <v>1.2</v>
      </c>
      <c r="J24" s="22">
        <v>1.2</v>
      </c>
      <c r="K24" s="22">
        <v>1.2</v>
      </c>
      <c r="L24" s="23" t="s">
        <v>284</v>
      </c>
      <c r="P24" s="18"/>
      <c r="Q24" s="24"/>
      <c r="R24" s="24"/>
      <c r="S24" s="24"/>
      <c r="T24" s="17"/>
      <c r="U24" s="24"/>
      <c r="V24" s="17"/>
      <c r="W24" s="17"/>
      <c r="X24" s="17"/>
      <c r="Y24" s="17"/>
    </row>
    <row r="25" spans="1:25" ht="45.75" customHeight="1" x14ac:dyDescent="0.2">
      <c r="A25" s="18"/>
      <c r="B25" s="117"/>
      <c r="C25" s="119"/>
      <c r="D25" s="25" t="s">
        <v>243</v>
      </c>
      <c r="E25" s="26">
        <v>1.2</v>
      </c>
      <c r="F25" s="26">
        <v>1.2</v>
      </c>
      <c r="G25" s="26">
        <v>1.2</v>
      </c>
      <c r="H25" s="26">
        <v>1.2</v>
      </c>
      <c r="I25" s="26">
        <v>1.2</v>
      </c>
      <c r="J25" s="26">
        <v>1.2</v>
      </c>
      <c r="K25" s="26">
        <v>1.2</v>
      </c>
      <c r="L25" s="23" t="s">
        <v>273</v>
      </c>
      <c r="P25" s="28"/>
      <c r="Q25" s="24"/>
      <c r="R25" s="24"/>
      <c r="S25" s="24"/>
      <c r="T25" s="17"/>
      <c r="U25" s="24"/>
      <c r="V25" s="17"/>
      <c r="W25" s="17"/>
      <c r="X25" s="17"/>
      <c r="Y25" s="17"/>
    </row>
    <row r="26" spans="1:25" ht="32.25" customHeight="1" x14ac:dyDescent="0.2">
      <c r="A26" s="18"/>
      <c r="B26" s="117"/>
      <c r="C26" s="119"/>
      <c r="D26" s="25" t="s">
        <v>244</v>
      </c>
      <c r="E26" s="26">
        <v>10</v>
      </c>
      <c r="F26" s="26">
        <v>10</v>
      </c>
      <c r="G26" s="26">
        <v>8</v>
      </c>
      <c r="H26" s="26">
        <v>6</v>
      </c>
      <c r="I26" s="26">
        <v>10</v>
      </c>
      <c r="J26" s="26">
        <v>10</v>
      </c>
      <c r="K26" s="27">
        <v>10</v>
      </c>
      <c r="L26" s="23" t="s">
        <v>37</v>
      </c>
      <c r="P26" s="17"/>
      <c r="Q26" s="29"/>
      <c r="R26" s="17"/>
      <c r="S26" s="17"/>
      <c r="T26" s="17"/>
      <c r="U26" s="17"/>
      <c r="V26" s="17"/>
      <c r="W26" s="17"/>
      <c r="X26" s="17"/>
      <c r="Y26" s="17"/>
    </row>
    <row r="27" spans="1:25" ht="34.5" customHeight="1" x14ac:dyDescent="0.2">
      <c r="A27" s="18"/>
      <c r="B27" s="117"/>
      <c r="C27" s="119"/>
      <c r="D27" s="25" t="s">
        <v>245</v>
      </c>
      <c r="E27" s="26">
        <v>43</v>
      </c>
      <c r="F27" s="26">
        <v>34</v>
      </c>
      <c r="G27" s="26">
        <v>26</v>
      </c>
      <c r="H27" s="26">
        <v>17</v>
      </c>
      <c r="I27" s="26">
        <v>34</v>
      </c>
      <c r="J27" s="26">
        <v>26</v>
      </c>
      <c r="K27" s="27">
        <v>42</v>
      </c>
      <c r="L27" s="23" t="s">
        <v>281</v>
      </c>
      <c r="P27" s="17"/>
      <c r="Q27" s="24"/>
      <c r="R27" s="17"/>
      <c r="S27" s="17"/>
      <c r="T27" s="17"/>
      <c r="U27" s="17"/>
      <c r="V27" s="17"/>
      <c r="W27" s="17"/>
      <c r="X27" s="17"/>
      <c r="Y27" s="17"/>
    </row>
    <row r="28" spans="1:25" ht="47.25" customHeight="1" x14ac:dyDescent="0.2">
      <c r="A28" s="18"/>
      <c r="B28" s="117"/>
      <c r="C28" s="119"/>
      <c r="D28" s="25" t="s">
        <v>246</v>
      </c>
      <c r="E28" s="26">
        <v>2</v>
      </c>
      <c r="F28" s="26">
        <v>2</v>
      </c>
      <c r="G28" s="26">
        <v>2</v>
      </c>
      <c r="H28" s="26">
        <v>2</v>
      </c>
      <c r="I28" s="26">
        <v>2</v>
      </c>
      <c r="J28" s="26">
        <v>2</v>
      </c>
      <c r="K28" s="27">
        <v>2</v>
      </c>
      <c r="L28" s="23" t="s">
        <v>299</v>
      </c>
      <c r="P28" s="17"/>
      <c r="Q28" s="24"/>
      <c r="R28" s="17"/>
      <c r="S28" s="17"/>
      <c r="T28" s="17"/>
      <c r="U28" s="17"/>
      <c r="V28" s="17"/>
      <c r="W28" s="17"/>
      <c r="X28" s="17"/>
      <c r="Y28" s="17"/>
    </row>
    <row r="29" spans="1:25" ht="48.75" customHeight="1" x14ac:dyDescent="0.2">
      <c r="A29" s="18"/>
      <c r="B29" s="117"/>
      <c r="C29" s="119"/>
      <c r="D29" s="25" t="s">
        <v>247</v>
      </c>
      <c r="E29" s="26">
        <v>4</v>
      </c>
      <c r="F29" s="26">
        <v>4</v>
      </c>
      <c r="G29" s="26">
        <v>4</v>
      </c>
      <c r="H29" s="26">
        <v>4</v>
      </c>
      <c r="I29" s="26"/>
      <c r="J29" s="26"/>
      <c r="K29" s="27"/>
      <c r="L29" s="23" t="s">
        <v>283</v>
      </c>
      <c r="P29" s="17"/>
      <c r="Q29" s="24"/>
      <c r="R29" s="17"/>
      <c r="S29" s="17"/>
      <c r="T29" s="17"/>
      <c r="U29" s="17"/>
      <c r="V29" s="17"/>
      <c r="W29" s="17"/>
      <c r="X29" s="17"/>
      <c r="Y29" s="17"/>
    </row>
    <row r="30" spans="1:25" ht="31.5" x14ac:dyDescent="0.2">
      <c r="A30" s="18"/>
      <c r="B30" s="117"/>
      <c r="C30" s="119"/>
      <c r="D30" s="30" t="s">
        <v>41</v>
      </c>
      <c r="E30" s="39">
        <f>SUM(E24:E29)</f>
        <v>61.4</v>
      </c>
      <c r="F30" s="39">
        <f t="shared" ref="F30:K30" si="0">SUM(F24:F29)</f>
        <v>52.4</v>
      </c>
      <c r="G30" s="39">
        <f t="shared" si="0"/>
        <v>42.4</v>
      </c>
      <c r="H30" s="39">
        <f t="shared" si="0"/>
        <v>31.4</v>
      </c>
      <c r="I30" s="39">
        <f t="shared" si="0"/>
        <v>48.4</v>
      </c>
      <c r="J30" s="39">
        <f t="shared" si="0"/>
        <v>40.4</v>
      </c>
      <c r="K30" s="39">
        <f t="shared" si="0"/>
        <v>56.4</v>
      </c>
      <c r="L30" s="33"/>
    </row>
    <row r="31" spans="1:25" ht="6" customHeight="1" x14ac:dyDescent="0.2">
      <c r="A31" s="18"/>
      <c r="B31" s="74"/>
      <c r="C31" s="74"/>
      <c r="D31" s="35"/>
      <c r="E31" s="36"/>
      <c r="F31" s="36"/>
      <c r="G31" s="36"/>
      <c r="H31" s="36"/>
      <c r="I31" s="36"/>
      <c r="J31" s="36"/>
      <c r="K31" s="37"/>
      <c r="L31" s="33"/>
    </row>
    <row r="32" spans="1:25" ht="63" customHeight="1" x14ac:dyDescent="0.2">
      <c r="A32" s="18"/>
      <c r="B32" s="117" t="s">
        <v>42</v>
      </c>
      <c r="C32" s="117" t="s">
        <v>241</v>
      </c>
      <c r="D32" s="38" t="s">
        <v>249</v>
      </c>
      <c r="E32" s="26">
        <v>1.2</v>
      </c>
      <c r="F32" s="26">
        <v>1.2</v>
      </c>
      <c r="G32" s="26">
        <v>1.2</v>
      </c>
      <c r="H32" s="26">
        <v>1.2</v>
      </c>
      <c r="I32" s="26">
        <v>1.2</v>
      </c>
      <c r="J32" s="26">
        <v>1.2</v>
      </c>
      <c r="K32" s="27">
        <v>1.2</v>
      </c>
      <c r="L32" s="23" t="s">
        <v>284</v>
      </c>
    </row>
    <row r="33" spans="1:12" ht="47.25" x14ac:dyDescent="0.2">
      <c r="A33" s="18"/>
      <c r="B33" s="117"/>
      <c r="C33" s="117"/>
      <c r="D33" s="38" t="s">
        <v>250</v>
      </c>
      <c r="E33" s="80">
        <v>8.76</v>
      </c>
      <c r="F33" s="80">
        <v>8.76</v>
      </c>
      <c r="G33" s="80">
        <v>8.76</v>
      </c>
      <c r="H33" s="80">
        <v>8.76</v>
      </c>
      <c r="I33" s="80">
        <v>8.76</v>
      </c>
      <c r="J33" s="80">
        <v>8.76</v>
      </c>
      <c r="K33" s="80">
        <v>8.76</v>
      </c>
      <c r="L33" s="23" t="s">
        <v>273</v>
      </c>
    </row>
    <row r="34" spans="1:12" ht="31.5" x14ac:dyDescent="0.2">
      <c r="A34" s="18"/>
      <c r="B34" s="117"/>
      <c r="C34" s="117"/>
      <c r="D34" s="38" t="s">
        <v>251</v>
      </c>
      <c r="E34" s="26">
        <v>10</v>
      </c>
      <c r="F34" s="26">
        <v>10</v>
      </c>
      <c r="G34" s="26">
        <v>8</v>
      </c>
      <c r="H34" s="26">
        <v>6</v>
      </c>
      <c r="I34" s="26">
        <v>10</v>
      </c>
      <c r="J34" s="26">
        <v>10</v>
      </c>
      <c r="K34" s="27">
        <v>10</v>
      </c>
      <c r="L34" s="23" t="s">
        <v>37</v>
      </c>
    </row>
    <row r="35" spans="1:12" ht="31.5" x14ac:dyDescent="0.2">
      <c r="A35" s="18"/>
      <c r="B35" s="117"/>
      <c r="C35" s="117"/>
      <c r="D35" s="38" t="s">
        <v>252</v>
      </c>
      <c r="E35" s="26">
        <v>43</v>
      </c>
      <c r="F35" s="26">
        <v>34</v>
      </c>
      <c r="G35" s="26">
        <v>26</v>
      </c>
      <c r="H35" s="26">
        <v>17</v>
      </c>
      <c r="I35" s="26">
        <v>34</v>
      </c>
      <c r="J35" s="26">
        <v>26</v>
      </c>
      <c r="K35" s="27">
        <v>42</v>
      </c>
      <c r="L35" s="23" t="s">
        <v>281</v>
      </c>
    </row>
    <row r="36" spans="1:12" ht="33" customHeight="1" x14ac:dyDescent="0.2">
      <c r="A36" s="18"/>
      <c r="B36" s="117"/>
      <c r="C36" s="117"/>
      <c r="D36" s="25" t="s">
        <v>253</v>
      </c>
      <c r="E36" s="26">
        <v>2</v>
      </c>
      <c r="F36" s="26">
        <v>2</v>
      </c>
      <c r="G36" s="26">
        <v>2</v>
      </c>
      <c r="H36" s="26">
        <v>2</v>
      </c>
      <c r="I36" s="26">
        <v>2</v>
      </c>
      <c r="J36" s="26">
        <v>2</v>
      </c>
      <c r="K36" s="27">
        <v>2</v>
      </c>
      <c r="L36" s="23" t="s">
        <v>299</v>
      </c>
    </row>
    <row r="37" spans="1:12" ht="48" customHeight="1" x14ac:dyDescent="0.2">
      <c r="A37" s="18"/>
      <c r="B37" s="117"/>
      <c r="C37" s="117"/>
      <c r="D37" s="38" t="s">
        <v>218</v>
      </c>
      <c r="E37" s="26">
        <v>4</v>
      </c>
      <c r="F37" s="26">
        <v>4</v>
      </c>
      <c r="G37" s="26">
        <v>4</v>
      </c>
      <c r="H37" s="26">
        <v>4</v>
      </c>
      <c r="I37" s="26"/>
      <c r="J37" s="26"/>
      <c r="K37" s="27"/>
      <c r="L37" s="23" t="s">
        <v>283</v>
      </c>
    </row>
    <row r="38" spans="1:12" ht="30" customHeight="1" x14ac:dyDescent="0.2">
      <c r="A38" s="41"/>
      <c r="B38" s="117"/>
      <c r="C38" s="117"/>
      <c r="D38" s="42" t="s">
        <v>53</v>
      </c>
      <c r="E38" s="39">
        <f>SUM(E32:E37)</f>
        <v>68.960000000000008</v>
      </c>
      <c r="F38" s="39">
        <f t="shared" ref="F38:K38" si="1">SUM(F32:F37)</f>
        <v>59.96</v>
      </c>
      <c r="G38" s="39">
        <f t="shared" si="1"/>
        <v>49.96</v>
      </c>
      <c r="H38" s="39">
        <f t="shared" si="1"/>
        <v>38.96</v>
      </c>
      <c r="I38" s="39">
        <f t="shared" si="1"/>
        <v>55.96</v>
      </c>
      <c r="J38" s="39">
        <f t="shared" si="1"/>
        <v>47.96</v>
      </c>
      <c r="K38" s="39">
        <f t="shared" si="1"/>
        <v>63.96</v>
      </c>
      <c r="L38" s="33"/>
    </row>
    <row r="39" spans="1:12" ht="6" customHeight="1" x14ac:dyDescent="0.2">
      <c r="A39" s="28"/>
      <c r="B39" s="74"/>
      <c r="C39" s="74"/>
      <c r="D39" s="43"/>
      <c r="E39" s="36"/>
      <c r="F39" s="36"/>
      <c r="G39" s="36"/>
      <c r="H39" s="36"/>
      <c r="I39" s="36"/>
      <c r="J39" s="36"/>
      <c r="K39" s="36"/>
      <c r="L39" s="33"/>
    </row>
    <row r="40" spans="1:12" ht="62.25" customHeight="1" x14ac:dyDescent="0.2">
      <c r="A40" s="28"/>
      <c r="B40" s="117" t="s">
        <v>54</v>
      </c>
      <c r="C40" s="117" t="s">
        <v>248</v>
      </c>
      <c r="D40" s="38" t="s">
        <v>267</v>
      </c>
      <c r="E40" s="26">
        <v>1.2</v>
      </c>
      <c r="F40" s="26">
        <v>1.2</v>
      </c>
      <c r="G40" s="26">
        <v>1.2</v>
      </c>
      <c r="H40" s="26">
        <v>1.2</v>
      </c>
      <c r="I40" s="26">
        <v>1.2</v>
      </c>
      <c r="J40" s="26">
        <v>1.2</v>
      </c>
      <c r="K40" s="27">
        <v>1.2</v>
      </c>
      <c r="L40" s="23" t="s">
        <v>284</v>
      </c>
    </row>
    <row r="41" spans="1:12" ht="46.5" customHeight="1" x14ac:dyDescent="0.2">
      <c r="A41" s="28"/>
      <c r="B41" s="117"/>
      <c r="C41" s="117"/>
      <c r="D41" s="38" t="s">
        <v>268</v>
      </c>
      <c r="E41" s="80">
        <v>5.52</v>
      </c>
      <c r="F41" s="80">
        <v>5.52</v>
      </c>
      <c r="G41" s="80">
        <v>5.52</v>
      </c>
      <c r="H41" s="80">
        <v>5.52</v>
      </c>
      <c r="I41" s="80">
        <v>5.52</v>
      </c>
      <c r="J41" s="80">
        <v>5.52</v>
      </c>
      <c r="K41" s="80">
        <v>5.52</v>
      </c>
      <c r="L41" s="23" t="s">
        <v>273</v>
      </c>
    </row>
    <row r="42" spans="1:12" ht="31.5" x14ac:dyDescent="0.2">
      <c r="A42" s="28"/>
      <c r="B42" s="117"/>
      <c r="C42" s="117"/>
      <c r="D42" s="38" t="s">
        <v>269</v>
      </c>
      <c r="E42" s="26">
        <v>10</v>
      </c>
      <c r="F42" s="26">
        <v>10</v>
      </c>
      <c r="G42" s="26">
        <v>8</v>
      </c>
      <c r="H42" s="26">
        <v>6</v>
      </c>
      <c r="I42" s="26">
        <v>10</v>
      </c>
      <c r="J42" s="26">
        <v>10</v>
      </c>
      <c r="K42" s="27">
        <v>10</v>
      </c>
      <c r="L42" s="23" t="s">
        <v>37</v>
      </c>
    </row>
    <row r="43" spans="1:12" ht="31.5" customHeight="1" x14ac:dyDescent="0.2">
      <c r="A43" s="28"/>
      <c r="B43" s="117"/>
      <c r="C43" s="117"/>
      <c r="D43" s="38" t="s">
        <v>270</v>
      </c>
      <c r="E43" s="26">
        <v>43</v>
      </c>
      <c r="F43" s="26">
        <v>34</v>
      </c>
      <c r="G43" s="26">
        <v>26</v>
      </c>
      <c r="H43" s="26">
        <v>17</v>
      </c>
      <c r="I43" s="26">
        <v>34</v>
      </c>
      <c r="J43" s="26">
        <v>26</v>
      </c>
      <c r="K43" s="27">
        <v>42</v>
      </c>
      <c r="L43" s="23" t="s">
        <v>281</v>
      </c>
    </row>
    <row r="44" spans="1:12" ht="30.75" customHeight="1" x14ac:dyDescent="0.2">
      <c r="A44" s="28"/>
      <c r="B44" s="117"/>
      <c r="C44" s="117"/>
      <c r="D44" s="25" t="s">
        <v>271</v>
      </c>
      <c r="E44" s="26">
        <v>2</v>
      </c>
      <c r="F44" s="26">
        <v>2</v>
      </c>
      <c r="G44" s="26">
        <v>2</v>
      </c>
      <c r="H44" s="26">
        <v>2</v>
      </c>
      <c r="I44" s="26">
        <v>2</v>
      </c>
      <c r="J44" s="26">
        <v>2</v>
      </c>
      <c r="K44" s="27">
        <v>2</v>
      </c>
      <c r="L44" s="23" t="s">
        <v>299</v>
      </c>
    </row>
    <row r="45" spans="1:12" ht="47.25" x14ac:dyDescent="0.2">
      <c r="A45" s="28"/>
      <c r="B45" s="117"/>
      <c r="C45" s="117"/>
      <c r="D45" s="38" t="s">
        <v>224</v>
      </c>
      <c r="E45" s="26">
        <v>4</v>
      </c>
      <c r="F45" s="26">
        <v>4</v>
      </c>
      <c r="G45" s="26">
        <v>4</v>
      </c>
      <c r="H45" s="26">
        <v>4</v>
      </c>
      <c r="I45" s="26"/>
      <c r="J45" s="26"/>
      <c r="K45" s="27"/>
      <c r="L45" s="23" t="s">
        <v>283</v>
      </c>
    </row>
    <row r="46" spans="1:12" ht="31.5" x14ac:dyDescent="0.2">
      <c r="A46" s="28"/>
      <c r="B46" s="117"/>
      <c r="C46" s="117"/>
      <c r="D46" s="42" t="s">
        <v>41</v>
      </c>
      <c r="E46" s="39">
        <f>SUM(E40:E45)</f>
        <v>65.72</v>
      </c>
      <c r="F46" s="39">
        <f t="shared" ref="F46:K46" si="2">SUM(F40:F45)</f>
        <v>56.72</v>
      </c>
      <c r="G46" s="39">
        <f t="shared" si="2"/>
        <v>46.72</v>
      </c>
      <c r="H46" s="39">
        <f t="shared" si="2"/>
        <v>35.72</v>
      </c>
      <c r="I46" s="39">
        <f t="shared" si="2"/>
        <v>52.72</v>
      </c>
      <c r="J46" s="39">
        <f t="shared" si="2"/>
        <v>44.72</v>
      </c>
      <c r="K46" s="39">
        <f t="shared" si="2"/>
        <v>60.72</v>
      </c>
      <c r="L46" s="33"/>
    </row>
    <row r="47" spans="1:12" ht="6.75" customHeight="1" x14ac:dyDescent="0.2">
      <c r="A47" s="28"/>
      <c r="B47" s="74"/>
      <c r="C47" s="75"/>
      <c r="D47" s="46"/>
      <c r="E47" s="36"/>
      <c r="F47" s="36"/>
      <c r="G47" s="36"/>
      <c r="H47" s="36"/>
      <c r="I47" s="36"/>
      <c r="J47" s="36"/>
      <c r="K47" s="37"/>
      <c r="L47" s="33"/>
    </row>
    <row r="48" spans="1:12" ht="31.5" customHeight="1" x14ac:dyDescent="0.2">
      <c r="A48" s="28"/>
      <c r="B48" s="117">
        <v>4</v>
      </c>
      <c r="C48" s="117" t="s">
        <v>275</v>
      </c>
      <c r="D48" s="44" t="s">
        <v>276</v>
      </c>
      <c r="E48" s="26">
        <v>25</v>
      </c>
      <c r="F48" s="26">
        <v>20</v>
      </c>
      <c r="G48" s="26">
        <v>15</v>
      </c>
      <c r="H48" s="26">
        <v>10</v>
      </c>
      <c r="I48" s="26">
        <v>20</v>
      </c>
      <c r="J48" s="26">
        <v>15</v>
      </c>
      <c r="K48" s="27">
        <v>28</v>
      </c>
      <c r="L48" s="23" t="s">
        <v>272</v>
      </c>
    </row>
    <row r="49" spans="1:12" ht="30.75" customHeight="1" x14ac:dyDescent="0.2">
      <c r="A49" s="28"/>
      <c r="B49" s="117"/>
      <c r="C49" s="117"/>
      <c r="D49" s="38" t="s">
        <v>277</v>
      </c>
      <c r="E49" s="26">
        <v>10</v>
      </c>
      <c r="F49" s="26">
        <v>10</v>
      </c>
      <c r="G49" s="26">
        <v>8</v>
      </c>
      <c r="H49" s="26">
        <v>6</v>
      </c>
      <c r="I49" s="26">
        <v>10</v>
      </c>
      <c r="J49" s="26">
        <v>10</v>
      </c>
      <c r="K49" s="27">
        <v>10</v>
      </c>
      <c r="L49" s="23" t="s">
        <v>37</v>
      </c>
    </row>
    <row r="50" spans="1:12" ht="30.75" customHeight="1" x14ac:dyDescent="0.2">
      <c r="A50" s="28"/>
      <c r="B50" s="117"/>
      <c r="C50" s="117"/>
      <c r="D50" s="44" t="s">
        <v>300</v>
      </c>
      <c r="E50" s="26">
        <v>1</v>
      </c>
      <c r="F50" s="26">
        <v>1</v>
      </c>
      <c r="G50" s="26">
        <v>1</v>
      </c>
      <c r="H50" s="26">
        <v>1</v>
      </c>
      <c r="I50" s="26">
        <v>1</v>
      </c>
      <c r="J50" s="26">
        <v>1</v>
      </c>
      <c r="K50" s="27">
        <v>1</v>
      </c>
      <c r="L50" s="23" t="s">
        <v>291</v>
      </c>
    </row>
    <row r="51" spans="1:12" ht="48" customHeight="1" x14ac:dyDescent="0.2">
      <c r="A51" s="28"/>
      <c r="B51" s="117"/>
      <c r="C51" s="117"/>
      <c r="D51" s="44" t="s">
        <v>301</v>
      </c>
      <c r="E51" s="26">
        <v>1.2</v>
      </c>
      <c r="F51" s="26">
        <v>1.2</v>
      </c>
      <c r="G51" s="26">
        <v>1.2</v>
      </c>
      <c r="H51" s="26">
        <v>1.2</v>
      </c>
      <c r="I51" s="26">
        <v>1.2</v>
      </c>
      <c r="J51" s="26">
        <v>1.2</v>
      </c>
      <c r="K51" s="26">
        <v>1.2</v>
      </c>
      <c r="L51" s="23" t="s">
        <v>273</v>
      </c>
    </row>
    <row r="52" spans="1:12" ht="31.5" customHeight="1" x14ac:dyDescent="0.2">
      <c r="A52" s="28"/>
      <c r="B52" s="117"/>
      <c r="C52" s="117"/>
      <c r="D52" s="44" t="s">
        <v>302</v>
      </c>
      <c r="E52" s="26">
        <v>1.2</v>
      </c>
      <c r="F52" s="26">
        <v>1.2</v>
      </c>
      <c r="G52" s="26">
        <v>1.2</v>
      </c>
      <c r="H52" s="26">
        <v>1.2</v>
      </c>
      <c r="I52" s="26">
        <v>1.2</v>
      </c>
      <c r="J52" s="26">
        <v>1.2</v>
      </c>
      <c r="K52" s="26">
        <v>1.2</v>
      </c>
      <c r="L52" s="23" t="s">
        <v>274</v>
      </c>
    </row>
    <row r="53" spans="1:12" ht="31.5" customHeight="1" x14ac:dyDescent="0.2">
      <c r="A53" s="28"/>
      <c r="B53" s="117"/>
      <c r="C53" s="117"/>
      <c r="D53" s="47" t="s">
        <v>130</v>
      </c>
      <c r="E53" s="39">
        <f t="shared" ref="E53:K53" si="3">SUM(E48:E52)</f>
        <v>38.400000000000006</v>
      </c>
      <c r="F53" s="39">
        <f t="shared" si="3"/>
        <v>33.400000000000006</v>
      </c>
      <c r="G53" s="39">
        <f t="shared" si="3"/>
        <v>26.4</v>
      </c>
      <c r="H53" s="39">
        <f t="shared" si="3"/>
        <v>19.399999999999999</v>
      </c>
      <c r="I53" s="39">
        <f t="shared" si="3"/>
        <v>33.400000000000006</v>
      </c>
      <c r="J53" s="39">
        <f t="shared" si="3"/>
        <v>28.4</v>
      </c>
      <c r="K53" s="39">
        <f t="shared" si="3"/>
        <v>41.400000000000006</v>
      </c>
      <c r="L53" s="33"/>
    </row>
    <row r="54" spans="1:12" ht="6.75" customHeight="1" x14ac:dyDescent="0.2">
      <c r="A54" s="28"/>
      <c r="B54" s="74"/>
      <c r="C54" s="75"/>
      <c r="D54" s="46"/>
      <c r="E54" s="36"/>
      <c r="F54" s="36"/>
      <c r="G54" s="36"/>
      <c r="H54" s="36"/>
      <c r="I54" s="36"/>
      <c r="J54" s="36"/>
      <c r="K54" s="37"/>
      <c r="L54" s="33"/>
    </row>
    <row r="55" spans="1:12" ht="33" customHeight="1" x14ac:dyDescent="0.2">
      <c r="A55" s="28"/>
      <c r="B55" s="117">
        <v>5</v>
      </c>
      <c r="C55" s="118" t="s">
        <v>303</v>
      </c>
      <c r="D55" s="38" t="s">
        <v>305</v>
      </c>
      <c r="E55" s="26">
        <v>25</v>
      </c>
      <c r="F55" s="26">
        <v>20</v>
      </c>
      <c r="G55" s="26">
        <v>15</v>
      </c>
      <c r="H55" s="26">
        <v>10</v>
      </c>
      <c r="I55" s="26">
        <v>20</v>
      </c>
      <c r="J55" s="26">
        <v>15</v>
      </c>
      <c r="K55" s="27">
        <v>28</v>
      </c>
      <c r="L55" s="23" t="s">
        <v>272</v>
      </c>
    </row>
    <row r="56" spans="1:12" ht="33.75" customHeight="1" x14ac:dyDescent="0.2">
      <c r="A56" s="28"/>
      <c r="B56" s="117"/>
      <c r="C56" s="119"/>
      <c r="D56" s="38" t="s">
        <v>306</v>
      </c>
      <c r="E56" s="26">
        <v>10</v>
      </c>
      <c r="F56" s="26">
        <v>10</v>
      </c>
      <c r="G56" s="26">
        <v>8</v>
      </c>
      <c r="H56" s="26">
        <v>6</v>
      </c>
      <c r="I56" s="26">
        <v>10</v>
      </c>
      <c r="J56" s="26">
        <v>10</v>
      </c>
      <c r="K56" s="27">
        <v>10</v>
      </c>
      <c r="L56" s="23" t="s">
        <v>37</v>
      </c>
    </row>
    <row r="57" spans="1:12" ht="31.5" x14ac:dyDescent="0.2">
      <c r="A57" s="28"/>
      <c r="B57" s="117"/>
      <c r="C57" s="119"/>
      <c r="D57" s="38" t="s">
        <v>307</v>
      </c>
      <c r="E57" s="26">
        <v>1</v>
      </c>
      <c r="F57" s="26">
        <v>1</v>
      </c>
      <c r="G57" s="26">
        <v>1</v>
      </c>
      <c r="H57" s="26">
        <v>1</v>
      </c>
      <c r="I57" s="26">
        <v>1</v>
      </c>
      <c r="J57" s="26">
        <v>1</v>
      </c>
      <c r="K57" s="27">
        <v>1</v>
      </c>
      <c r="L57" s="23" t="s">
        <v>291</v>
      </c>
    </row>
    <row r="58" spans="1:12" ht="47.25" x14ac:dyDescent="0.2">
      <c r="A58" s="28"/>
      <c r="B58" s="117"/>
      <c r="C58" s="119"/>
      <c r="D58" s="38" t="s">
        <v>308</v>
      </c>
      <c r="E58" s="80">
        <v>8.76</v>
      </c>
      <c r="F58" s="80">
        <v>8.76</v>
      </c>
      <c r="G58" s="80">
        <v>8.76</v>
      </c>
      <c r="H58" s="80">
        <v>8.76</v>
      </c>
      <c r="I58" s="80">
        <v>8.76</v>
      </c>
      <c r="J58" s="80">
        <v>8.76</v>
      </c>
      <c r="K58" s="80">
        <v>8.76</v>
      </c>
      <c r="L58" s="23" t="s">
        <v>273</v>
      </c>
    </row>
    <row r="59" spans="1:12" ht="47.25" x14ac:dyDescent="0.2">
      <c r="A59" s="28"/>
      <c r="B59" s="117"/>
      <c r="C59" s="119"/>
      <c r="D59" s="38" t="s">
        <v>309</v>
      </c>
      <c r="E59" s="26">
        <v>1.2</v>
      </c>
      <c r="F59" s="26">
        <v>1.2</v>
      </c>
      <c r="G59" s="26">
        <v>1.2</v>
      </c>
      <c r="H59" s="26">
        <v>1.2</v>
      </c>
      <c r="I59" s="26">
        <v>1.2</v>
      </c>
      <c r="J59" s="26">
        <v>1.2</v>
      </c>
      <c r="K59" s="27">
        <v>1.2</v>
      </c>
      <c r="L59" s="23" t="s">
        <v>274</v>
      </c>
    </row>
    <row r="60" spans="1:12" ht="31.5" x14ac:dyDescent="0.2">
      <c r="A60" s="28"/>
      <c r="B60" s="117"/>
      <c r="C60" s="119"/>
      <c r="D60" s="42" t="s">
        <v>130</v>
      </c>
      <c r="E60" s="39">
        <f>SUM(E55:E59)</f>
        <v>45.96</v>
      </c>
      <c r="F60" s="39">
        <f t="shared" ref="F60:K60" si="4">SUM(F55:F59)</f>
        <v>40.96</v>
      </c>
      <c r="G60" s="39">
        <f t="shared" si="4"/>
        <v>33.96</v>
      </c>
      <c r="H60" s="39">
        <f t="shared" si="4"/>
        <v>26.959999999999997</v>
      </c>
      <c r="I60" s="39">
        <f t="shared" si="4"/>
        <v>40.96</v>
      </c>
      <c r="J60" s="39">
        <f t="shared" si="4"/>
        <v>35.96</v>
      </c>
      <c r="K60" s="39">
        <f t="shared" si="4"/>
        <v>48.96</v>
      </c>
      <c r="L60" s="23"/>
    </row>
    <row r="61" spans="1:12" ht="6" customHeight="1" x14ac:dyDescent="0.2">
      <c r="A61" s="18"/>
      <c r="B61" s="74"/>
      <c r="C61" s="74"/>
      <c r="D61" s="43"/>
      <c r="E61" s="36"/>
      <c r="F61" s="36"/>
      <c r="G61" s="36"/>
      <c r="H61" s="36"/>
      <c r="I61" s="36"/>
      <c r="J61" s="36"/>
      <c r="K61" s="37"/>
      <c r="L61" s="33"/>
    </row>
    <row r="62" spans="1:12" ht="30.75" customHeight="1" x14ac:dyDescent="0.2">
      <c r="A62" s="18"/>
      <c r="B62" s="117">
        <v>6</v>
      </c>
      <c r="C62" s="117" t="s">
        <v>304</v>
      </c>
      <c r="D62" s="44" t="s">
        <v>305</v>
      </c>
      <c r="E62" s="26">
        <v>25</v>
      </c>
      <c r="F62" s="26">
        <v>20</v>
      </c>
      <c r="G62" s="26">
        <v>15</v>
      </c>
      <c r="H62" s="26">
        <v>10</v>
      </c>
      <c r="I62" s="26">
        <v>20</v>
      </c>
      <c r="J62" s="26">
        <v>15</v>
      </c>
      <c r="K62" s="27">
        <v>28</v>
      </c>
      <c r="L62" s="23" t="s">
        <v>272</v>
      </c>
    </row>
    <row r="63" spans="1:12" ht="31.5" customHeight="1" x14ac:dyDescent="0.2">
      <c r="A63" s="18"/>
      <c r="B63" s="117"/>
      <c r="C63" s="117"/>
      <c r="D63" s="38" t="s">
        <v>306</v>
      </c>
      <c r="E63" s="26">
        <v>10</v>
      </c>
      <c r="F63" s="26">
        <v>10</v>
      </c>
      <c r="G63" s="26">
        <v>8</v>
      </c>
      <c r="H63" s="26">
        <v>6</v>
      </c>
      <c r="I63" s="26">
        <v>10</v>
      </c>
      <c r="J63" s="26">
        <v>10</v>
      </c>
      <c r="K63" s="27">
        <v>10</v>
      </c>
      <c r="L63" s="23" t="s">
        <v>37</v>
      </c>
    </row>
    <row r="64" spans="1:12" ht="30.75" customHeight="1" x14ac:dyDescent="0.2">
      <c r="A64" s="18"/>
      <c r="B64" s="117"/>
      <c r="C64" s="117"/>
      <c r="D64" s="44" t="s">
        <v>307</v>
      </c>
      <c r="E64" s="26">
        <v>1</v>
      </c>
      <c r="F64" s="26">
        <v>1</v>
      </c>
      <c r="G64" s="26">
        <v>1</v>
      </c>
      <c r="H64" s="26">
        <v>1</v>
      </c>
      <c r="I64" s="26">
        <v>1</v>
      </c>
      <c r="J64" s="26">
        <v>1</v>
      </c>
      <c r="K64" s="27">
        <v>1</v>
      </c>
      <c r="L64" s="23" t="s">
        <v>291</v>
      </c>
    </row>
    <row r="65" spans="1:13" ht="48.75" customHeight="1" x14ac:dyDescent="0.2">
      <c r="A65" s="18"/>
      <c r="B65" s="117"/>
      <c r="C65" s="117"/>
      <c r="D65" s="44" t="s">
        <v>310</v>
      </c>
      <c r="E65" s="80">
        <v>5.52</v>
      </c>
      <c r="F65" s="80">
        <v>5.52</v>
      </c>
      <c r="G65" s="80">
        <v>5.52</v>
      </c>
      <c r="H65" s="80">
        <v>5.52</v>
      </c>
      <c r="I65" s="80">
        <v>5.52</v>
      </c>
      <c r="J65" s="80">
        <v>5.52</v>
      </c>
      <c r="K65" s="80">
        <v>5.52</v>
      </c>
      <c r="L65" s="23" t="s">
        <v>273</v>
      </c>
    </row>
    <row r="66" spans="1:13" ht="47.25" customHeight="1" x14ac:dyDescent="0.2">
      <c r="A66" s="18"/>
      <c r="B66" s="117"/>
      <c r="C66" s="117"/>
      <c r="D66" s="44" t="s">
        <v>309</v>
      </c>
      <c r="E66" s="26">
        <v>1.2</v>
      </c>
      <c r="F66" s="26">
        <v>1.2</v>
      </c>
      <c r="G66" s="26">
        <v>1.2</v>
      </c>
      <c r="H66" s="26">
        <v>1.2</v>
      </c>
      <c r="I66" s="26">
        <v>1.2</v>
      </c>
      <c r="J66" s="26">
        <v>1.2</v>
      </c>
      <c r="K66" s="27">
        <v>1.2</v>
      </c>
      <c r="L66" s="23" t="s">
        <v>274</v>
      </c>
    </row>
    <row r="67" spans="1:13" ht="31.5" customHeight="1" x14ac:dyDescent="0.2">
      <c r="A67" s="18"/>
      <c r="B67" s="117"/>
      <c r="C67" s="117"/>
      <c r="D67" s="47" t="s">
        <v>130</v>
      </c>
      <c r="E67" s="39">
        <f>SUM(E62:E66)</f>
        <v>42.72</v>
      </c>
      <c r="F67" s="39">
        <f t="shared" ref="F67:K67" si="5">SUM(F62:F66)</f>
        <v>37.72</v>
      </c>
      <c r="G67" s="39">
        <f t="shared" si="5"/>
        <v>30.72</v>
      </c>
      <c r="H67" s="39">
        <f t="shared" si="5"/>
        <v>23.72</v>
      </c>
      <c r="I67" s="39">
        <f t="shared" si="5"/>
        <v>37.72</v>
      </c>
      <c r="J67" s="39">
        <f t="shared" si="5"/>
        <v>32.72</v>
      </c>
      <c r="K67" s="39">
        <f t="shared" si="5"/>
        <v>45.72</v>
      </c>
      <c r="L67" s="23"/>
    </row>
    <row r="68" spans="1:13" x14ac:dyDescent="0.2">
      <c r="B68" s="17"/>
      <c r="C68" s="17"/>
      <c r="D68" s="17"/>
      <c r="E68" s="17"/>
      <c r="F68" s="17"/>
      <c r="G68" s="17"/>
      <c r="H68" s="17"/>
      <c r="I68" s="17"/>
      <c r="J68" s="17"/>
      <c r="K68" s="17"/>
    </row>
    <row r="69" spans="1:13" x14ac:dyDescent="0.2">
      <c r="B69" s="17"/>
      <c r="C69" s="17"/>
      <c r="D69" s="17"/>
      <c r="E69" s="17"/>
      <c r="F69" s="17"/>
      <c r="G69" s="17"/>
      <c r="H69" s="17"/>
      <c r="I69" s="17"/>
      <c r="J69" s="17"/>
      <c r="K69" s="17"/>
    </row>
    <row r="70" spans="1:13" x14ac:dyDescent="0.2">
      <c r="B70" s="17"/>
      <c r="C70" s="17"/>
      <c r="D70" s="17"/>
      <c r="E70" s="17"/>
      <c r="F70" s="17"/>
      <c r="G70" s="17"/>
      <c r="H70" s="17"/>
      <c r="I70" s="17"/>
      <c r="J70" s="17"/>
      <c r="K70" s="17"/>
    </row>
    <row r="71" spans="1:13" ht="18.75" x14ac:dyDescent="0.3">
      <c r="B71" s="65"/>
      <c r="C71" s="66" t="s">
        <v>192</v>
      </c>
      <c r="D71" s="66"/>
      <c r="E71" s="66"/>
      <c r="F71" s="67" t="s">
        <v>193</v>
      </c>
      <c r="G71" s="68" t="s">
        <v>194</v>
      </c>
      <c r="H71" s="66"/>
      <c r="I71" s="69"/>
      <c r="J71" s="69"/>
      <c r="K71" s="69"/>
      <c r="L71" s="69"/>
      <c r="M71" s="69"/>
    </row>
    <row r="72" spans="1:13" ht="18.75" x14ac:dyDescent="0.3">
      <c r="B72" s="65"/>
      <c r="C72" s="66"/>
      <c r="D72" s="66"/>
      <c r="E72" s="66"/>
      <c r="F72" s="67"/>
      <c r="G72" s="68"/>
      <c r="H72" s="66"/>
      <c r="I72" s="69"/>
      <c r="J72" s="69"/>
      <c r="K72" s="69"/>
      <c r="L72" s="69"/>
      <c r="M72" s="69"/>
    </row>
    <row r="73" spans="1:13" ht="18.75" customHeight="1" x14ac:dyDescent="0.3">
      <c r="B73" s="65"/>
      <c r="C73" s="122" t="s">
        <v>195</v>
      </c>
      <c r="D73" s="122"/>
      <c r="E73" s="66"/>
      <c r="F73" s="67" t="s">
        <v>193</v>
      </c>
      <c r="G73" s="68" t="s">
        <v>196</v>
      </c>
      <c r="H73" s="68"/>
      <c r="I73" s="70"/>
      <c r="J73" s="70"/>
      <c r="K73" s="70"/>
      <c r="L73" s="70"/>
      <c r="M73" s="70"/>
    </row>
    <row r="74" spans="1:13" ht="18.75" customHeight="1" x14ac:dyDescent="0.3">
      <c r="B74" s="65"/>
      <c r="C74" s="121"/>
      <c r="D74" s="121"/>
      <c r="E74" s="69"/>
      <c r="F74" s="67"/>
      <c r="G74" s="70"/>
      <c r="H74" s="121"/>
      <c r="I74" s="121"/>
      <c r="J74" s="121"/>
      <c r="K74" s="121"/>
      <c r="L74" s="121"/>
      <c r="M74" s="121"/>
    </row>
    <row r="75" spans="1:13" ht="18.75" customHeight="1" x14ac:dyDescent="0.3">
      <c r="B75" s="17"/>
      <c r="C75" s="79" t="s">
        <v>0</v>
      </c>
      <c r="D75" s="68"/>
      <c r="E75" s="68"/>
      <c r="F75" s="67"/>
      <c r="G75" s="68"/>
      <c r="H75" s="68"/>
      <c r="I75" s="68"/>
      <c r="J75" s="17"/>
      <c r="K75" s="17"/>
      <c r="M75" s="71"/>
    </row>
    <row r="76" spans="1:13" ht="18.75" customHeight="1" x14ac:dyDescent="0.3">
      <c r="B76" s="17"/>
      <c r="C76" s="66"/>
      <c r="D76" s="66" t="s">
        <v>198</v>
      </c>
      <c r="E76" s="66"/>
      <c r="F76" s="67" t="s">
        <v>193</v>
      </c>
      <c r="G76" s="68" t="s">
        <v>2</v>
      </c>
      <c r="H76" s="68"/>
      <c r="I76" s="68"/>
      <c r="J76" s="17"/>
      <c r="K76" s="17"/>
      <c r="M76" s="71"/>
    </row>
    <row r="77" spans="1:13" ht="18.75" customHeight="1" x14ac:dyDescent="0.3">
      <c r="C77" s="66"/>
      <c r="D77" s="66"/>
      <c r="E77" s="66"/>
      <c r="F77" s="67"/>
      <c r="G77" s="68"/>
      <c r="H77" s="68"/>
      <c r="I77" s="68"/>
      <c r="J77" s="17"/>
      <c r="K77" s="17"/>
      <c r="M77" s="71"/>
    </row>
    <row r="78" spans="1:13" ht="18.75" customHeight="1" x14ac:dyDescent="0.3">
      <c r="C78" s="78"/>
      <c r="D78" s="78" t="s">
        <v>199</v>
      </c>
      <c r="E78" s="68"/>
      <c r="F78" s="67" t="s">
        <v>193</v>
      </c>
      <c r="G78" s="68" t="s">
        <v>5</v>
      </c>
      <c r="H78" s="68"/>
      <c r="I78" s="68"/>
      <c r="J78" s="17"/>
      <c r="K78" s="17"/>
      <c r="M78" s="71"/>
    </row>
    <row r="79" spans="1:13" ht="18.75" customHeight="1" x14ac:dyDescent="0.2">
      <c r="C79" s="77"/>
      <c r="D79" s="77"/>
      <c r="E79" s="17"/>
      <c r="F79" s="17"/>
      <c r="G79" s="17"/>
      <c r="H79" s="17"/>
      <c r="I79" s="17"/>
      <c r="J79" s="17"/>
      <c r="K79" s="17"/>
      <c r="M79" s="71"/>
    </row>
  </sheetData>
  <mergeCells count="39">
    <mergeCell ref="B24:B30"/>
    <mergeCell ref="C24:C30"/>
    <mergeCell ref="B32:B38"/>
    <mergeCell ref="B16:L16"/>
    <mergeCell ref="B2:C2"/>
    <mergeCell ref="F2:L2"/>
    <mergeCell ref="B3:E3"/>
    <mergeCell ref="F3:L3"/>
    <mergeCell ref="F4:L4"/>
    <mergeCell ref="B5:D5"/>
    <mergeCell ref="F5:L5"/>
    <mergeCell ref="A11:L11"/>
    <mergeCell ref="B12:L12"/>
    <mergeCell ref="B13:L13"/>
    <mergeCell ref="B14:L14"/>
    <mergeCell ref="B15:L15"/>
    <mergeCell ref="B17:L17"/>
    <mergeCell ref="B18:L18"/>
    <mergeCell ref="B20:B23"/>
    <mergeCell ref="C20:C23"/>
    <mergeCell ref="D20:D23"/>
    <mergeCell ref="E20:K20"/>
    <mergeCell ref="L20:L23"/>
    <mergeCell ref="E21:H22"/>
    <mergeCell ref="I21:J21"/>
    <mergeCell ref="K21:K23"/>
    <mergeCell ref="I22:J22"/>
    <mergeCell ref="C32:C38"/>
    <mergeCell ref="C73:D73"/>
    <mergeCell ref="C74:D74"/>
    <mergeCell ref="H74:M74"/>
    <mergeCell ref="B48:B53"/>
    <mergeCell ref="C48:C53"/>
    <mergeCell ref="B55:B60"/>
    <mergeCell ref="C55:C60"/>
    <mergeCell ref="B62:B67"/>
    <mergeCell ref="C62:C67"/>
    <mergeCell ref="B40:B46"/>
    <mergeCell ref="C40:C46"/>
  </mergeCells>
  <printOptions horizontalCentered="1"/>
  <pageMargins left="0.23622047244094491" right="0.23622047244094491" top="0.15748031496062992" bottom="0.35433070866141736" header="0.31496062992125984" footer="0.31496062992125984"/>
  <pageSetup paperSize="9" scale="67" orientation="portrait" verticalDpi="0" r:id="rId1"/>
  <headerFooter alignWithMargins="0"/>
  <rowBreaks count="1" manualBreakCount="1">
    <brk id="41" max="1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7"/>
  <sheetViews>
    <sheetView view="pageBreakPreview" topLeftCell="A88" zoomScale="82" zoomScaleNormal="100" zoomScaleSheetLayoutView="82" workbookViewId="0">
      <selection activeCell="D84" sqref="D84"/>
    </sheetView>
  </sheetViews>
  <sheetFormatPr defaultRowHeight="12.75" x14ac:dyDescent="0.2"/>
  <cols>
    <col min="1" max="1" width="1.42578125" style="2" customWidth="1"/>
    <col min="2" max="2" width="4.28515625" style="2" customWidth="1"/>
    <col min="3" max="3" width="16" style="2" customWidth="1"/>
    <col min="4" max="4" width="32.7109375" style="2" customWidth="1"/>
    <col min="5" max="11" width="7.7109375" style="2" customWidth="1"/>
    <col min="12" max="12" width="17.140625" style="17" customWidth="1"/>
    <col min="13" max="13" width="0.85546875" style="2" customWidth="1"/>
    <col min="14" max="14" width="9.140625" style="2" customWidth="1"/>
    <col min="15" max="15" width="43.42578125" style="2" customWidth="1"/>
    <col min="16" max="16" width="9.140625" style="2"/>
    <col min="17" max="24" width="9.140625" style="2" customWidth="1"/>
    <col min="25" max="25" width="8.85546875" style="2" customWidth="1"/>
    <col min="26" max="27" width="9.140625" style="2" hidden="1" customWidth="1"/>
    <col min="28" max="256" width="9.140625" style="2"/>
    <col min="257" max="257" width="1.42578125" style="2" customWidth="1"/>
    <col min="258" max="258" width="4.28515625" style="2" customWidth="1"/>
    <col min="259" max="259" width="16" style="2" customWidth="1"/>
    <col min="260" max="260" width="32.7109375" style="2" customWidth="1"/>
    <col min="261" max="267" width="7.7109375" style="2" customWidth="1"/>
    <col min="268" max="268" width="17.140625" style="2" customWidth="1"/>
    <col min="269" max="269" width="0.85546875" style="2" customWidth="1"/>
    <col min="270" max="270" width="9.140625" style="2" customWidth="1"/>
    <col min="271" max="271" width="43.42578125" style="2" customWidth="1"/>
    <col min="272" max="272" width="9.140625" style="2"/>
    <col min="273" max="280" width="9.140625" style="2" customWidth="1"/>
    <col min="281" max="281" width="8.85546875" style="2" customWidth="1"/>
    <col min="282" max="283" width="0" style="2" hidden="1" customWidth="1"/>
    <col min="284" max="512" width="9.140625" style="2"/>
    <col min="513" max="513" width="1.42578125" style="2" customWidth="1"/>
    <col min="514" max="514" width="4.28515625" style="2" customWidth="1"/>
    <col min="515" max="515" width="16" style="2" customWidth="1"/>
    <col min="516" max="516" width="32.7109375" style="2" customWidth="1"/>
    <col min="517" max="523" width="7.7109375" style="2" customWidth="1"/>
    <col min="524" max="524" width="17.140625" style="2" customWidth="1"/>
    <col min="525" max="525" width="0.85546875" style="2" customWidth="1"/>
    <col min="526" max="526" width="9.140625" style="2" customWidth="1"/>
    <col min="527" max="527" width="43.42578125" style="2" customWidth="1"/>
    <col min="528" max="528" width="9.140625" style="2"/>
    <col min="529" max="536" width="9.140625" style="2" customWidth="1"/>
    <col min="537" max="537" width="8.85546875" style="2" customWidth="1"/>
    <col min="538" max="539" width="0" style="2" hidden="1" customWidth="1"/>
    <col min="540" max="768" width="9.140625" style="2"/>
    <col min="769" max="769" width="1.42578125" style="2" customWidth="1"/>
    <col min="770" max="770" width="4.28515625" style="2" customWidth="1"/>
    <col min="771" max="771" width="16" style="2" customWidth="1"/>
    <col min="772" max="772" width="32.7109375" style="2" customWidth="1"/>
    <col min="773" max="779" width="7.7109375" style="2" customWidth="1"/>
    <col min="780" max="780" width="17.140625" style="2" customWidth="1"/>
    <col min="781" max="781" width="0.85546875" style="2" customWidth="1"/>
    <col min="782" max="782" width="9.140625" style="2" customWidth="1"/>
    <col min="783" max="783" width="43.42578125" style="2" customWidth="1"/>
    <col min="784" max="784" width="9.140625" style="2"/>
    <col min="785" max="792" width="9.140625" style="2" customWidth="1"/>
    <col min="793" max="793" width="8.85546875" style="2" customWidth="1"/>
    <col min="794" max="795" width="0" style="2" hidden="1" customWidth="1"/>
    <col min="796" max="1024" width="9.140625" style="2"/>
    <col min="1025" max="1025" width="1.42578125" style="2" customWidth="1"/>
    <col min="1026" max="1026" width="4.28515625" style="2" customWidth="1"/>
    <col min="1027" max="1027" width="16" style="2" customWidth="1"/>
    <col min="1028" max="1028" width="32.7109375" style="2" customWidth="1"/>
    <col min="1029" max="1035" width="7.7109375" style="2" customWidth="1"/>
    <col min="1036" max="1036" width="17.140625" style="2" customWidth="1"/>
    <col min="1037" max="1037" width="0.85546875" style="2" customWidth="1"/>
    <col min="1038" max="1038" width="9.140625" style="2" customWidth="1"/>
    <col min="1039" max="1039" width="43.42578125" style="2" customWidth="1"/>
    <col min="1040" max="1040" width="9.140625" style="2"/>
    <col min="1041" max="1048" width="9.140625" style="2" customWidth="1"/>
    <col min="1049" max="1049" width="8.85546875" style="2" customWidth="1"/>
    <col min="1050" max="1051" width="0" style="2" hidden="1" customWidth="1"/>
    <col min="1052" max="1280" width="9.140625" style="2"/>
    <col min="1281" max="1281" width="1.42578125" style="2" customWidth="1"/>
    <col min="1282" max="1282" width="4.28515625" style="2" customWidth="1"/>
    <col min="1283" max="1283" width="16" style="2" customWidth="1"/>
    <col min="1284" max="1284" width="32.7109375" style="2" customWidth="1"/>
    <col min="1285" max="1291" width="7.7109375" style="2" customWidth="1"/>
    <col min="1292" max="1292" width="17.140625" style="2" customWidth="1"/>
    <col min="1293" max="1293" width="0.85546875" style="2" customWidth="1"/>
    <col min="1294" max="1294" width="9.140625" style="2" customWidth="1"/>
    <col min="1295" max="1295" width="43.42578125" style="2" customWidth="1"/>
    <col min="1296" max="1296" width="9.140625" style="2"/>
    <col min="1297" max="1304" width="9.140625" style="2" customWidth="1"/>
    <col min="1305" max="1305" width="8.85546875" style="2" customWidth="1"/>
    <col min="1306" max="1307" width="0" style="2" hidden="1" customWidth="1"/>
    <col min="1308" max="1536" width="9.140625" style="2"/>
    <col min="1537" max="1537" width="1.42578125" style="2" customWidth="1"/>
    <col min="1538" max="1538" width="4.28515625" style="2" customWidth="1"/>
    <col min="1539" max="1539" width="16" style="2" customWidth="1"/>
    <col min="1540" max="1540" width="32.7109375" style="2" customWidth="1"/>
    <col min="1541" max="1547" width="7.7109375" style="2" customWidth="1"/>
    <col min="1548" max="1548" width="17.140625" style="2" customWidth="1"/>
    <col min="1549" max="1549" width="0.85546875" style="2" customWidth="1"/>
    <col min="1550" max="1550" width="9.140625" style="2" customWidth="1"/>
    <col min="1551" max="1551" width="43.42578125" style="2" customWidth="1"/>
    <col min="1552" max="1552" width="9.140625" style="2"/>
    <col min="1553" max="1560" width="9.140625" style="2" customWidth="1"/>
    <col min="1561" max="1561" width="8.85546875" style="2" customWidth="1"/>
    <col min="1562" max="1563" width="0" style="2" hidden="1" customWidth="1"/>
    <col min="1564" max="1792" width="9.140625" style="2"/>
    <col min="1793" max="1793" width="1.42578125" style="2" customWidth="1"/>
    <col min="1794" max="1794" width="4.28515625" style="2" customWidth="1"/>
    <col min="1795" max="1795" width="16" style="2" customWidth="1"/>
    <col min="1796" max="1796" width="32.7109375" style="2" customWidth="1"/>
    <col min="1797" max="1803" width="7.7109375" style="2" customWidth="1"/>
    <col min="1804" max="1804" width="17.140625" style="2" customWidth="1"/>
    <col min="1805" max="1805" width="0.85546875" style="2" customWidth="1"/>
    <col min="1806" max="1806" width="9.140625" style="2" customWidth="1"/>
    <col min="1807" max="1807" width="43.42578125" style="2" customWidth="1"/>
    <col min="1808" max="1808" width="9.140625" style="2"/>
    <col min="1809" max="1816" width="9.140625" style="2" customWidth="1"/>
    <col min="1817" max="1817" width="8.85546875" style="2" customWidth="1"/>
    <col min="1818" max="1819" width="0" style="2" hidden="1" customWidth="1"/>
    <col min="1820" max="2048" width="9.140625" style="2"/>
    <col min="2049" max="2049" width="1.42578125" style="2" customWidth="1"/>
    <col min="2050" max="2050" width="4.28515625" style="2" customWidth="1"/>
    <col min="2051" max="2051" width="16" style="2" customWidth="1"/>
    <col min="2052" max="2052" width="32.7109375" style="2" customWidth="1"/>
    <col min="2053" max="2059" width="7.7109375" style="2" customWidth="1"/>
    <col min="2060" max="2060" width="17.140625" style="2" customWidth="1"/>
    <col min="2061" max="2061" width="0.85546875" style="2" customWidth="1"/>
    <col min="2062" max="2062" width="9.140625" style="2" customWidth="1"/>
    <col min="2063" max="2063" width="43.42578125" style="2" customWidth="1"/>
    <col min="2064" max="2064" width="9.140625" style="2"/>
    <col min="2065" max="2072" width="9.140625" style="2" customWidth="1"/>
    <col min="2073" max="2073" width="8.85546875" style="2" customWidth="1"/>
    <col min="2074" max="2075" width="0" style="2" hidden="1" customWidth="1"/>
    <col min="2076" max="2304" width="9.140625" style="2"/>
    <col min="2305" max="2305" width="1.42578125" style="2" customWidth="1"/>
    <col min="2306" max="2306" width="4.28515625" style="2" customWidth="1"/>
    <col min="2307" max="2307" width="16" style="2" customWidth="1"/>
    <col min="2308" max="2308" width="32.7109375" style="2" customWidth="1"/>
    <col min="2309" max="2315" width="7.7109375" style="2" customWidth="1"/>
    <col min="2316" max="2316" width="17.140625" style="2" customWidth="1"/>
    <col min="2317" max="2317" width="0.85546875" style="2" customWidth="1"/>
    <col min="2318" max="2318" width="9.140625" style="2" customWidth="1"/>
    <col min="2319" max="2319" width="43.42578125" style="2" customWidth="1"/>
    <col min="2320" max="2320" width="9.140625" style="2"/>
    <col min="2321" max="2328" width="9.140625" style="2" customWidth="1"/>
    <col min="2329" max="2329" width="8.85546875" style="2" customWidth="1"/>
    <col min="2330" max="2331" width="0" style="2" hidden="1" customWidth="1"/>
    <col min="2332" max="2560" width="9.140625" style="2"/>
    <col min="2561" max="2561" width="1.42578125" style="2" customWidth="1"/>
    <col min="2562" max="2562" width="4.28515625" style="2" customWidth="1"/>
    <col min="2563" max="2563" width="16" style="2" customWidth="1"/>
    <col min="2564" max="2564" width="32.7109375" style="2" customWidth="1"/>
    <col min="2565" max="2571" width="7.7109375" style="2" customWidth="1"/>
    <col min="2572" max="2572" width="17.140625" style="2" customWidth="1"/>
    <col min="2573" max="2573" width="0.85546875" style="2" customWidth="1"/>
    <col min="2574" max="2574" width="9.140625" style="2" customWidth="1"/>
    <col min="2575" max="2575" width="43.42578125" style="2" customWidth="1"/>
    <col min="2576" max="2576" width="9.140625" style="2"/>
    <col min="2577" max="2584" width="9.140625" style="2" customWidth="1"/>
    <col min="2585" max="2585" width="8.85546875" style="2" customWidth="1"/>
    <col min="2586" max="2587" width="0" style="2" hidden="1" customWidth="1"/>
    <col min="2588" max="2816" width="9.140625" style="2"/>
    <col min="2817" max="2817" width="1.42578125" style="2" customWidth="1"/>
    <col min="2818" max="2818" width="4.28515625" style="2" customWidth="1"/>
    <col min="2819" max="2819" width="16" style="2" customWidth="1"/>
    <col min="2820" max="2820" width="32.7109375" style="2" customWidth="1"/>
    <col min="2821" max="2827" width="7.7109375" style="2" customWidth="1"/>
    <col min="2828" max="2828" width="17.140625" style="2" customWidth="1"/>
    <col min="2829" max="2829" width="0.85546875" style="2" customWidth="1"/>
    <col min="2830" max="2830" width="9.140625" style="2" customWidth="1"/>
    <col min="2831" max="2831" width="43.42578125" style="2" customWidth="1"/>
    <col min="2832" max="2832" width="9.140625" style="2"/>
    <col min="2833" max="2840" width="9.140625" style="2" customWidth="1"/>
    <col min="2841" max="2841" width="8.85546875" style="2" customWidth="1"/>
    <col min="2842" max="2843" width="0" style="2" hidden="1" customWidth="1"/>
    <col min="2844" max="3072" width="9.140625" style="2"/>
    <col min="3073" max="3073" width="1.42578125" style="2" customWidth="1"/>
    <col min="3074" max="3074" width="4.28515625" style="2" customWidth="1"/>
    <col min="3075" max="3075" width="16" style="2" customWidth="1"/>
    <col min="3076" max="3076" width="32.7109375" style="2" customWidth="1"/>
    <col min="3077" max="3083" width="7.7109375" style="2" customWidth="1"/>
    <col min="3084" max="3084" width="17.140625" style="2" customWidth="1"/>
    <col min="3085" max="3085" width="0.85546875" style="2" customWidth="1"/>
    <col min="3086" max="3086" width="9.140625" style="2" customWidth="1"/>
    <col min="3087" max="3087" width="43.42578125" style="2" customWidth="1"/>
    <col min="3088" max="3088" width="9.140625" style="2"/>
    <col min="3089" max="3096" width="9.140625" style="2" customWidth="1"/>
    <col min="3097" max="3097" width="8.85546875" style="2" customWidth="1"/>
    <col min="3098" max="3099" width="0" style="2" hidden="1" customWidth="1"/>
    <col min="3100" max="3328" width="9.140625" style="2"/>
    <col min="3329" max="3329" width="1.42578125" style="2" customWidth="1"/>
    <col min="3330" max="3330" width="4.28515625" style="2" customWidth="1"/>
    <col min="3331" max="3331" width="16" style="2" customWidth="1"/>
    <col min="3332" max="3332" width="32.7109375" style="2" customWidth="1"/>
    <col min="3333" max="3339" width="7.7109375" style="2" customWidth="1"/>
    <col min="3340" max="3340" width="17.140625" style="2" customWidth="1"/>
    <col min="3341" max="3341" width="0.85546875" style="2" customWidth="1"/>
    <col min="3342" max="3342" width="9.140625" style="2" customWidth="1"/>
    <col min="3343" max="3343" width="43.42578125" style="2" customWidth="1"/>
    <col min="3344" max="3344" width="9.140625" style="2"/>
    <col min="3345" max="3352" width="9.140625" style="2" customWidth="1"/>
    <col min="3353" max="3353" width="8.85546875" style="2" customWidth="1"/>
    <col min="3354" max="3355" width="0" style="2" hidden="1" customWidth="1"/>
    <col min="3356" max="3584" width="9.140625" style="2"/>
    <col min="3585" max="3585" width="1.42578125" style="2" customWidth="1"/>
    <col min="3586" max="3586" width="4.28515625" style="2" customWidth="1"/>
    <col min="3587" max="3587" width="16" style="2" customWidth="1"/>
    <col min="3588" max="3588" width="32.7109375" style="2" customWidth="1"/>
    <col min="3589" max="3595" width="7.7109375" style="2" customWidth="1"/>
    <col min="3596" max="3596" width="17.140625" style="2" customWidth="1"/>
    <col min="3597" max="3597" width="0.85546875" style="2" customWidth="1"/>
    <col min="3598" max="3598" width="9.140625" style="2" customWidth="1"/>
    <col min="3599" max="3599" width="43.42578125" style="2" customWidth="1"/>
    <col min="3600" max="3600" width="9.140625" style="2"/>
    <col min="3601" max="3608" width="9.140625" style="2" customWidth="1"/>
    <col min="3609" max="3609" width="8.85546875" style="2" customWidth="1"/>
    <col min="3610" max="3611" width="0" style="2" hidden="1" customWidth="1"/>
    <col min="3612" max="3840" width="9.140625" style="2"/>
    <col min="3841" max="3841" width="1.42578125" style="2" customWidth="1"/>
    <col min="3842" max="3842" width="4.28515625" style="2" customWidth="1"/>
    <col min="3843" max="3843" width="16" style="2" customWidth="1"/>
    <col min="3844" max="3844" width="32.7109375" style="2" customWidth="1"/>
    <col min="3845" max="3851" width="7.7109375" style="2" customWidth="1"/>
    <col min="3852" max="3852" width="17.140625" style="2" customWidth="1"/>
    <col min="3853" max="3853" width="0.85546875" style="2" customWidth="1"/>
    <col min="3854" max="3854" width="9.140625" style="2" customWidth="1"/>
    <col min="3855" max="3855" width="43.42578125" style="2" customWidth="1"/>
    <col min="3856" max="3856" width="9.140625" style="2"/>
    <col min="3857" max="3864" width="9.140625" style="2" customWidth="1"/>
    <col min="3865" max="3865" width="8.85546875" style="2" customWidth="1"/>
    <col min="3866" max="3867" width="0" style="2" hidden="1" customWidth="1"/>
    <col min="3868" max="4096" width="9.140625" style="2"/>
    <col min="4097" max="4097" width="1.42578125" style="2" customWidth="1"/>
    <col min="4098" max="4098" width="4.28515625" style="2" customWidth="1"/>
    <col min="4099" max="4099" width="16" style="2" customWidth="1"/>
    <col min="4100" max="4100" width="32.7109375" style="2" customWidth="1"/>
    <col min="4101" max="4107" width="7.7109375" style="2" customWidth="1"/>
    <col min="4108" max="4108" width="17.140625" style="2" customWidth="1"/>
    <col min="4109" max="4109" width="0.85546875" style="2" customWidth="1"/>
    <col min="4110" max="4110" width="9.140625" style="2" customWidth="1"/>
    <col min="4111" max="4111" width="43.42578125" style="2" customWidth="1"/>
    <col min="4112" max="4112" width="9.140625" style="2"/>
    <col min="4113" max="4120" width="9.140625" style="2" customWidth="1"/>
    <col min="4121" max="4121" width="8.85546875" style="2" customWidth="1"/>
    <col min="4122" max="4123" width="0" style="2" hidden="1" customWidth="1"/>
    <col min="4124" max="4352" width="9.140625" style="2"/>
    <col min="4353" max="4353" width="1.42578125" style="2" customWidth="1"/>
    <col min="4354" max="4354" width="4.28515625" style="2" customWidth="1"/>
    <col min="4355" max="4355" width="16" style="2" customWidth="1"/>
    <col min="4356" max="4356" width="32.7109375" style="2" customWidth="1"/>
    <col min="4357" max="4363" width="7.7109375" style="2" customWidth="1"/>
    <col min="4364" max="4364" width="17.140625" style="2" customWidth="1"/>
    <col min="4365" max="4365" width="0.85546875" style="2" customWidth="1"/>
    <col min="4366" max="4366" width="9.140625" style="2" customWidth="1"/>
    <col min="4367" max="4367" width="43.42578125" style="2" customWidth="1"/>
    <col min="4368" max="4368" width="9.140625" style="2"/>
    <col min="4369" max="4376" width="9.140625" style="2" customWidth="1"/>
    <col min="4377" max="4377" width="8.85546875" style="2" customWidth="1"/>
    <col min="4378" max="4379" width="0" style="2" hidden="1" customWidth="1"/>
    <col min="4380" max="4608" width="9.140625" style="2"/>
    <col min="4609" max="4609" width="1.42578125" style="2" customWidth="1"/>
    <col min="4610" max="4610" width="4.28515625" style="2" customWidth="1"/>
    <col min="4611" max="4611" width="16" style="2" customWidth="1"/>
    <col min="4612" max="4612" width="32.7109375" style="2" customWidth="1"/>
    <col min="4613" max="4619" width="7.7109375" style="2" customWidth="1"/>
    <col min="4620" max="4620" width="17.140625" style="2" customWidth="1"/>
    <col min="4621" max="4621" width="0.85546875" style="2" customWidth="1"/>
    <col min="4622" max="4622" width="9.140625" style="2" customWidth="1"/>
    <col min="4623" max="4623" width="43.42578125" style="2" customWidth="1"/>
    <col min="4624" max="4624" width="9.140625" style="2"/>
    <col min="4625" max="4632" width="9.140625" style="2" customWidth="1"/>
    <col min="4633" max="4633" width="8.85546875" style="2" customWidth="1"/>
    <col min="4634" max="4635" width="0" style="2" hidden="1" customWidth="1"/>
    <col min="4636" max="4864" width="9.140625" style="2"/>
    <col min="4865" max="4865" width="1.42578125" style="2" customWidth="1"/>
    <col min="4866" max="4866" width="4.28515625" style="2" customWidth="1"/>
    <col min="4867" max="4867" width="16" style="2" customWidth="1"/>
    <col min="4868" max="4868" width="32.7109375" style="2" customWidth="1"/>
    <col min="4869" max="4875" width="7.7109375" style="2" customWidth="1"/>
    <col min="4876" max="4876" width="17.140625" style="2" customWidth="1"/>
    <col min="4877" max="4877" width="0.85546875" style="2" customWidth="1"/>
    <col min="4878" max="4878" width="9.140625" style="2" customWidth="1"/>
    <col min="4879" max="4879" width="43.42578125" style="2" customWidth="1"/>
    <col min="4880" max="4880" width="9.140625" style="2"/>
    <col min="4881" max="4888" width="9.140625" style="2" customWidth="1"/>
    <col min="4889" max="4889" width="8.85546875" style="2" customWidth="1"/>
    <col min="4890" max="4891" width="0" style="2" hidden="1" customWidth="1"/>
    <col min="4892" max="5120" width="9.140625" style="2"/>
    <col min="5121" max="5121" width="1.42578125" style="2" customWidth="1"/>
    <col min="5122" max="5122" width="4.28515625" style="2" customWidth="1"/>
    <col min="5123" max="5123" width="16" style="2" customWidth="1"/>
    <col min="5124" max="5124" width="32.7109375" style="2" customWidth="1"/>
    <col min="5125" max="5131" width="7.7109375" style="2" customWidth="1"/>
    <col min="5132" max="5132" width="17.140625" style="2" customWidth="1"/>
    <col min="5133" max="5133" width="0.85546875" style="2" customWidth="1"/>
    <col min="5134" max="5134" width="9.140625" style="2" customWidth="1"/>
    <col min="5135" max="5135" width="43.42578125" style="2" customWidth="1"/>
    <col min="5136" max="5136" width="9.140625" style="2"/>
    <col min="5137" max="5144" width="9.140625" style="2" customWidth="1"/>
    <col min="5145" max="5145" width="8.85546875" style="2" customWidth="1"/>
    <col min="5146" max="5147" width="0" style="2" hidden="1" customWidth="1"/>
    <col min="5148" max="5376" width="9.140625" style="2"/>
    <col min="5377" max="5377" width="1.42578125" style="2" customWidth="1"/>
    <col min="5378" max="5378" width="4.28515625" style="2" customWidth="1"/>
    <col min="5379" max="5379" width="16" style="2" customWidth="1"/>
    <col min="5380" max="5380" width="32.7109375" style="2" customWidth="1"/>
    <col min="5381" max="5387" width="7.7109375" style="2" customWidth="1"/>
    <col min="5388" max="5388" width="17.140625" style="2" customWidth="1"/>
    <col min="5389" max="5389" width="0.85546875" style="2" customWidth="1"/>
    <col min="5390" max="5390" width="9.140625" style="2" customWidth="1"/>
    <col min="5391" max="5391" width="43.42578125" style="2" customWidth="1"/>
    <col min="5392" max="5392" width="9.140625" style="2"/>
    <col min="5393" max="5400" width="9.140625" style="2" customWidth="1"/>
    <col min="5401" max="5401" width="8.85546875" style="2" customWidth="1"/>
    <col min="5402" max="5403" width="0" style="2" hidden="1" customWidth="1"/>
    <col min="5404" max="5632" width="9.140625" style="2"/>
    <col min="5633" max="5633" width="1.42578125" style="2" customWidth="1"/>
    <col min="5634" max="5634" width="4.28515625" style="2" customWidth="1"/>
    <col min="5635" max="5635" width="16" style="2" customWidth="1"/>
    <col min="5636" max="5636" width="32.7109375" style="2" customWidth="1"/>
    <col min="5637" max="5643" width="7.7109375" style="2" customWidth="1"/>
    <col min="5644" max="5644" width="17.140625" style="2" customWidth="1"/>
    <col min="5645" max="5645" width="0.85546875" style="2" customWidth="1"/>
    <col min="5646" max="5646" width="9.140625" style="2" customWidth="1"/>
    <col min="5647" max="5647" width="43.42578125" style="2" customWidth="1"/>
    <col min="5648" max="5648" width="9.140625" style="2"/>
    <col min="5649" max="5656" width="9.140625" style="2" customWidth="1"/>
    <col min="5657" max="5657" width="8.85546875" style="2" customWidth="1"/>
    <col min="5658" max="5659" width="0" style="2" hidden="1" customWidth="1"/>
    <col min="5660" max="5888" width="9.140625" style="2"/>
    <col min="5889" max="5889" width="1.42578125" style="2" customWidth="1"/>
    <col min="5890" max="5890" width="4.28515625" style="2" customWidth="1"/>
    <col min="5891" max="5891" width="16" style="2" customWidth="1"/>
    <col min="5892" max="5892" width="32.7109375" style="2" customWidth="1"/>
    <col min="5893" max="5899" width="7.7109375" style="2" customWidth="1"/>
    <col min="5900" max="5900" width="17.140625" style="2" customWidth="1"/>
    <col min="5901" max="5901" width="0.85546875" style="2" customWidth="1"/>
    <col min="5902" max="5902" width="9.140625" style="2" customWidth="1"/>
    <col min="5903" max="5903" width="43.42578125" style="2" customWidth="1"/>
    <col min="5904" max="5904" width="9.140625" style="2"/>
    <col min="5905" max="5912" width="9.140625" style="2" customWidth="1"/>
    <col min="5913" max="5913" width="8.85546875" style="2" customWidth="1"/>
    <col min="5914" max="5915" width="0" style="2" hidden="1" customWidth="1"/>
    <col min="5916" max="6144" width="9.140625" style="2"/>
    <col min="6145" max="6145" width="1.42578125" style="2" customWidth="1"/>
    <col min="6146" max="6146" width="4.28515625" style="2" customWidth="1"/>
    <col min="6147" max="6147" width="16" style="2" customWidth="1"/>
    <col min="6148" max="6148" width="32.7109375" style="2" customWidth="1"/>
    <col min="6149" max="6155" width="7.7109375" style="2" customWidth="1"/>
    <col min="6156" max="6156" width="17.140625" style="2" customWidth="1"/>
    <col min="6157" max="6157" width="0.85546875" style="2" customWidth="1"/>
    <col min="6158" max="6158" width="9.140625" style="2" customWidth="1"/>
    <col min="6159" max="6159" width="43.42578125" style="2" customWidth="1"/>
    <col min="6160" max="6160" width="9.140625" style="2"/>
    <col min="6161" max="6168" width="9.140625" style="2" customWidth="1"/>
    <col min="6169" max="6169" width="8.85546875" style="2" customWidth="1"/>
    <col min="6170" max="6171" width="0" style="2" hidden="1" customWidth="1"/>
    <col min="6172" max="6400" width="9.140625" style="2"/>
    <col min="6401" max="6401" width="1.42578125" style="2" customWidth="1"/>
    <col min="6402" max="6402" width="4.28515625" style="2" customWidth="1"/>
    <col min="6403" max="6403" width="16" style="2" customWidth="1"/>
    <col min="6404" max="6404" width="32.7109375" style="2" customWidth="1"/>
    <col min="6405" max="6411" width="7.7109375" style="2" customWidth="1"/>
    <col min="6412" max="6412" width="17.140625" style="2" customWidth="1"/>
    <col min="6413" max="6413" width="0.85546875" style="2" customWidth="1"/>
    <col min="6414" max="6414" width="9.140625" style="2" customWidth="1"/>
    <col min="6415" max="6415" width="43.42578125" style="2" customWidth="1"/>
    <col min="6416" max="6416" width="9.140625" style="2"/>
    <col min="6417" max="6424" width="9.140625" style="2" customWidth="1"/>
    <col min="6425" max="6425" width="8.85546875" style="2" customWidth="1"/>
    <col min="6426" max="6427" width="0" style="2" hidden="1" customWidth="1"/>
    <col min="6428" max="6656" width="9.140625" style="2"/>
    <col min="6657" max="6657" width="1.42578125" style="2" customWidth="1"/>
    <col min="6658" max="6658" width="4.28515625" style="2" customWidth="1"/>
    <col min="6659" max="6659" width="16" style="2" customWidth="1"/>
    <col min="6660" max="6660" width="32.7109375" style="2" customWidth="1"/>
    <col min="6661" max="6667" width="7.7109375" style="2" customWidth="1"/>
    <col min="6668" max="6668" width="17.140625" style="2" customWidth="1"/>
    <col min="6669" max="6669" width="0.85546875" style="2" customWidth="1"/>
    <col min="6670" max="6670" width="9.140625" style="2" customWidth="1"/>
    <col min="6671" max="6671" width="43.42578125" style="2" customWidth="1"/>
    <col min="6672" max="6672" width="9.140625" style="2"/>
    <col min="6673" max="6680" width="9.140625" style="2" customWidth="1"/>
    <col min="6681" max="6681" width="8.85546875" style="2" customWidth="1"/>
    <col min="6682" max="6683" width="0" style="2" hidden="1" customWidth="1"/>
    <col min="6684" max="6912" width="9.140625" style="2"/>
    <col min="6913" max="6913" width="1.42578125" style="2" customWidth="1"/>
    <col min="6914" max="6914" width="4.28515625" style="2" customWidth="1"/>
    <col min="6915" max="6915" width="16" style="2" customWidth="1"/>
    <col min="6916" max="6916" width="32.7109375" style="2" customWidth="1"/>
    <col min="6917" max="6923" width="7.7109375" style="2" customWidth="1"/>
    <col min="6924" max="6924" width="17.140625" style="2" customWidth="1"/>
    <col min="6925" max="6925" width="0.85546875" style="2" customWidth="1"/>
    <col min="6926" max="6926" width="9.140625" style="2" customWidth="1"/>
    <col min="6927" max="6927" width="43.42578125" style="2" customWidth="1"/>
    <col min="6928" max="6928" width="9.140625" style="2"/>
    <col min="6929" max="6936" width="9.140625" style="2" customWidth="1"/>
    <col min="6937" max="6937" width="8.85546875" style="2" customWidth="1"/>
    <col min="6938" max="6939" width="0" style="2" hidden="1" customWidth="1"/>
    <col min="6940" max="7168" width="9.140625" style="2"/>
    <col min="7169" max="7169" width="1.42578125" style="2" customWidth="1"/>
    <col min="7170" max="7170" width="4.28515625" style="2" customWidth="1"/>
    <col min="7171" max="7171" width="16" style="2" customWidth="1"/>
    <col min="7172" max="7172" width="32.7109375" style="2" customWidth="1"/>
    <col min="7173" max="7179" width="7.7109375" style="2" customWidth="1"/>
    <col min="7180" max="7180" width="17.140625" style="2" customWidth="1"/>
    <col min="7181" max="7181" width="0.85546875" style="2" customWidth="1"/>
    <col min="7182" max="7182" width="9.140625" style="2" customWidth="1"/>
    <col min="7183" max="7183" width="43.42578125" style="2" customWidth="1"/>
    <col min="7184" max="7184" width="9.140625" style="2"/>
    <col min="7185" max="7192" width="9.140625" style="2" customWidth="1"/>
    <col min="7193" max="7193" width="8.85546875" style="2" customWidth="1"/>
    <col min="7194" max="7195" width="0" style="2" hidden="1" customWidth="1"/>
    <col min="7196" max="7424" width="9.140625" style="2"/>
    <col min="7425" max="7425" width="1.42578125" style="2" customWidth="1"/>
    <col min="7426" max="7426" width="4.28515625" style="2" customWidth="1"/>
    <col min="7427" max="7427" width="16" style="2" customWidth="1"/>
    <col min="7428" max="7428" width="32.7109375" style="2" customWidth="1"/>
    <col min="7429" max="7435" width="7.7109375" style="2" customWidth="1"/>
    <col min="7436" max="7436" width="17.140625" style="2" customWidth="1"/>
    <col min="7437" max="7437" width="0.85546875" style="2" customWidth="1"/>
    <col min="7438" max="7438" width="9.140625" style="2" customWidth="1"/>
    <col min="7439" max="7439" width="43.42578125" style="2" customWidth="1"/>
    <col min="7440" max="7440" width="9.140625" style="2"/>
    <col min="7441" max="7448" width="9.140625" style="2" customWidth="1"/>
    <col min="7449" max="7449" width="8.85546875" style="2" customWidth="1"/>
    <col min="7450" max="7451" width="0" style="2" hidden="1" customWidth="1"/>
    <col min="7452" max="7680" width="9.140625" style="2"/>
    <col min="7681" max="7681" width="1.42578125" style="2" customWidth="1"/>
    <col min="7682" max="7682" width="4.28515625" style="2" customWidth="1"/>
    <col min="7683" max="7683" width="16" style="2" customWidth="1"/>
    <col min="7684" max="7684" width="32.7109375" style="2" customWidth="1"/>
    <col min="7685" max="7691" width="7.7109375" style="2" customWidth="1"/>
    <col min="7692" max="7692" width="17.140625" style="2" customWidth="1"/>
    <col min="7693" max="7693" width="0.85546875" style="2" customWidth="1"/>
    <col min="7694" max="7694" width="9.140625" style="2" customWidth="1"/>
    <col min="7695" max="7695" width="43.42578125" style="2" customWidth="1"/>
    <col min="7696" max="7696" width="9.140625" style="2"/>
    <col min="7697" max="7704" width="9.140625" style="2" customWidth="1"/>
    <col min="7705" max="7705" width="8.85546875" style="2" customWidth="1"/>
    <col min="7706" max="7707" width="0" style="2" hidden="1" customWidth="1"/>
    <col min="7708" max="7936" width="9.140625" style="2"/>
    <col min="7937" max="7937" width="1.42578125" style="2" customWidth="1"/>
    <col min="7938" max="7938" width="4.28515625" style="2" customWidth="1"/>
    <col min="7939" max="7939" width="16" style="2" customWidth="1"/>
    <col min="7940" max="7940" width="32.7109375" style="2" customWidth="1"/>
    <col min="7941" max="7947" width="7.7109375" style="2" customWidth="1"/>
    <col min="7948" max="7948" width="17.140625" style="2" customWidth="1"/>
    <col min="7949" max="7949" width="0.85546875" style="2" customWidth="1"/>
    <col min="7950" max="7950" width="9.140625" style="2" customWidth="1"/>
    <col min="7951" max="7951" width="43.42578125" style="2" customWidth="1"/>
    <col min="7952" max="7952" width="9.140625" style="2"/>
    <col min="7953" max="7960" width="9.140625" style="2" customWidth="1"/>
    <col min="7961" max="7961" width="8.85546875" style="2" customWidth="1"/>
    <col min="7962" max="7963" width="0" style="2" hidden="1" customWidth="1"/>
    <col min="7964" max="8192" width="9.140625" style="2"/>
    <col min="8193" max="8193" width="1.42578125" style="2" customWidth="1"/>
    <col min="8194" max="8194" width="4.28515625" style="2" customWidth="1"/>
    <col min="8195" max="8195" width="16" style="2" customWidth="1"/>
    <col min="8196" max="8196" width="32.7109375" style="2" customWidth="1"/>
    <col min="8197" max="8203" width="7.7109375" style="2" customWidth="1"/>
    <col min="8204" max="8204" width="17.140625" style="2" customWidth="1"/>
    <col min="8205" max="8205" width="0.85546875" style="2" customWidth="1"/>
    <col min="8206" max="8206" width="9.140625" style="2" customWidth="1"/>
    <col min="8207" max="8207" width="43.42578125" style="2" customWidth="1"/>
    <col min="8208" max="8208" width="9.140625" style="2"/>
    <col min="8209" max="8216" width="9.140625" style="2" customWidth="1"/>
    <col min="8217" max="8217" width="8.85546875" style="2" customWidth="1"/>
    <col min="8218" max="8219" width="0" style="2" hidden="1" customWidth="1"/>
    <col min="8220" max="8448" width="9.140625" style="2"/>
    <col min="8449" max="8449" width="1.42578125" style="2" customWidth="1"/>
    <col min="8450" max="8450" width="4.28515625" style="2" customWidth="1"/>
    <col min="8451" max="8451" width="16" style="2" customWidth="1"/>
    <col min="8452" max="8452" width="32.7109375" style="2" customWidth="1"/>
    <col min="8453" max="8459" width="7.7109375" style="2" customWidth="1"/>
    <col min="8460" max="8460" width="17.140625" style="2" customWidth="1"/>
    <col min="8461" max="8461" width="0.85546875" style="2" customWidth="1"/>
    <col min="8462" max="8462" width="9.140625" style="2" customWidth="1"/>
    <col min="8463" max="8463" width="43.42578125" style="2" customWidth="1"/>
    <col min="8464" max="8464" width="9.140625" style="2"/>
    <col min="8465" max="8472" width="9.140625" style="2" customWidth="1"/>
    <col min="8473" max="8473" width="8.85546875" style="2" customWidth="1"/>
    <col min="8474" max="8475" width="0" style="2" hidden="1" customWidth="1"/>
    <col min="8476" max="8704" width="9.140625" style="2"/>
    <col min="8705" max="8705" width="1.42578125" style="2" customWidth="1"/>
    <col min="8706" max="8706" width="4.28515625" style="2" customWidth="1"/>
    <col min="8707" max="8707" width="16" style="2" customWidth="1"/>
    <col min="8708" max="8708" width="32.7109375" style="2" customWidth="1"/>
    <col min="8709" max="8715" width="7.7109375" style="2" customWidth="1"/>
    <col min="8716" max="8716" width="17.140625" style="2" customWidth="1"/>
    <col min="8717" max="8717" width="0.85546875" style="2" customWidth="1"/>
    <col min="8718" max="8718" width="9.140625" style="2" customWidth="1"/>
    <col min="8719" max="8719" width="43.42578125" style="2" customWidth="1"/>
    <col min="8720" max="8720" width="9.140625" style="2"/>
    <col min="8721" max="8728" width="9.140625" style="2" customWidth="1"/>
    <col min="8729" max="8729" width="8.85546875" style="2" customWidth="1"/>
    <col min="8730" max="8731" width="0" style="2" hidden="1" customWidth="1"/>
    <col min="8732" max="8960" width="9.140625" style="2"/>
    <col min="8961" max="8961" width="1.42578125" style="2" customWidth="1"/>
    <col min="8962" max="8962" width="4.28515625" style="2" customWidth="1"/>
    <col min="8963" max="8963" width="16" style="2" customWidth="1"/>
    <col min="8964" max="8964" width="32.7109375" style="2" customWidth="1"/>
    <col min="8965" max="8971" width="7.7109375" style="2" customWidth="1"/>
    <col min="8972" max="8972" width="17.140625" style="2" customWidth="1"/>
    <col min="8973" max="8973" width="0.85546875" style="2" customWidth="1"/>
    <col min="8974" max="8974" width="9.140625" style="2" customWidth="1"/>
    <col min="8975" max="8975" width="43.42578125" style="2" customWidth="1"/>
    <col min="8976" max="8976" width="9.140625" style="2"/>
    <col min="8977" max="8984" width="9.140625" style="2" customWidth="1"/>
    <col min="8985" max="8985" width="8.85546875" style="2" customWidth="1"/>
    <col min="8986" max="8987" width="0" style="2" hidden="1" customWidth="1"/>
    <col min="8988" max="9216" width="9.140625" style="2"/>
    <col min="9217" max="9217" width="1.42578125" style="2" customWidth="1"/>
    <col min="9218" max="9218" width="4.28515625" style="2" customWidth="1"/>
    <col min="9219" max="9219" width="16" style="2" customWidth="1"/>
    <col min="9220" max="9220" width="32.7109375" style="2" customWidth="1"/>
    <col min="9221" max="9227" width="7.7109375" style="2" customWidth="1"/>
    <col min="9228" max="9228" width="17.140625" style="2" customWidth="1"/>
    <col min="9229" max="9229" width="0.85546875" style="2" customWidth="1"/>
    <col min="9230" max="9230" width="9.140625" style="2" customWidth="1"/>
    <col min="9231" max="9231" width="43.42578125" style="2" customWidth="1"/>
    <col min="9232" max="9232" width="9.140625" style="2"/>
    <col min="9233" max="9240" width="9.140625" style="2" customWidth="1"/>
    <col min="9241" max="9241" width="8.85546875" style="2" customWidth="1"/>
    <col min="9242" max="9243" width="0" style="2" hidden="1" customWidth="1"/>
    <col min="9244" max="9472" width="9.140625" style="2"/>
    <col min="9473" max="9473" width="1.42578125" style="2" customWidth="1"/>
    <col min="9474" max="9474" width="4.28515625" style="2" customWidth="1"/>
    <col min="9475" max="9475" width="16" style="2" customWidth="1"/>
    <col min="9476" max="9476" width="32.7109375" style="2" customWidth="1"/>
    <col min="9477" max="9483" width="7.7109375" style="2" customWidth="1"/>
    <col min="9484" max="9484" width="17.140625" style="2" customWidth="1"/>
    <col min="9485" max="9485" width="0.85546875" style="2" customWidth="1"/>
    <col min="9486" max="9486" width="9.140625" style="2" customWidth="1"/>
    <col min="9487" max="9487" width="43.42578125" style="2" customWidth="1"/>
    <col min="9488" max="9488" width="9.140625" style="2"/>
    <col min="9489" max="9496" width="9.140625" style="2" customWidth="1"/>
    <col min="9497" max="9497" width="8.85546875" style="2" customWidth="1"/>
    <col min="9498" max="9499" width="0" style="2" hidden="1" customWidth="1"/>
    <col min="9500" max="9728" width="9.140625" style="2"/>
    <col min="9729" max="9729" width="1.42578125" style="2" customWidth="1"/>
    <col min="9730" max="9730" width="4.28515625" style="2" customWidth="1"/>
    <col min="9731" max="9731" width="16" style="2" customWidth="1"/>
    <col min="9732" max="9732" width="32.7109375" style="2" customWidth="1"/>
    <col min="9733" max="9739" width="7.7109375" style="2" customWidth="1"/>
    <col min="9740" max="9740" width="17.140625" style="2" customWidth="1"/>
    <col min="9741" max="9741" width="0.85546875" style="2" customWidth="1"/>
    <col min="9742" max="9742" width="9.140625" style="2" customWidth="1"/>
    <col min="9743" max="9743" width="43.42578125" style="2" customWidth="1"/>
    <col min="9744" max="9744" width="9.140625" style="2"/>
    <col min="9745" max="9752" width="9.140625" style="2" customWidth="1"/>
    <col min="9753" max="9753" width="8.85546875" style="2" customWidth="1"/>
    <col min="9754" max="9755" width="0" style="2" hidden="1" customWidth="1"/>
    <col min="9756" max="9984" width="9.140625" style="2"/>
    <col min="9985" max="9985" width="1.42578125" style="2" customWidth="1"/>
    <col min="9986" max="9986" width="4.28515625" style="2" customWidth="1"/>
    <col min="9987" max="9987" width="16" style="2" customWidth="1"/>
    <col min="9988" max="9988" width="32.7109375" style="2" customWidth="1"/>
    <col min="9989" max="9995" width="7.7109375" style="2" customWidth="1"/>
    <col min="9996" max="9996" width="17.140625" style="2" customWidth="1"/>
    <col min="9997" max="9997" width="0.85546875" style="2" customWidth="1"/>
    <col min="9998" max="9998" width="9.140625" style="2" customWidth="1"/>
    <col min="9999" max="9999" width="43.42578125" style="2" customWidth="1"/>
    <col min="10000" max="10000" width="9.140625" style="2"/>
    <col min="10001" max="10008" width="9.140625" style="2" customWidth="1"/>
    <col min="10009" max="10009" width="8.85546875" style="2" customWidth="1"/>
    <col min="10010" max="10011" width="0" style="2" hidden="1" customWidth="1"/>
    <col min="10012" max="10240" width="9.140625" style="2"/>
    <col min="10241" max="10241" width="1.42578125" style="2" customWidth="1"/>
    <col min="10242" max="10242" width="4.28515625" style="2" customWidth="1"/>
    <col min="10243" max="10243" width="16" style="2" customWidth="1"/>
    <col min="10244" max="10244" width="32.7109375" style="2" customWidth="1"/>
    <col min="10245" max="10251" width="7.7109375" style="2" customWidth="1"/>
    <col min="10252" max="10252" width="17.140625" style="2" customWidth="1"/>
    <col min="10253" max="10253" width="0.85546875" style="2" customWidth="1"/>
    <col min="10254" max="10254" width="9.140625" style="2" customWidth="1"/>
    <col min="10255" max="10255" width="43.42578125" style="2" customWidth="1"/>
    <col min="10256" max="10256" width="9.140625" style="2"/>
    <col min="10257" max="10264" width="9.140625" style="2" customWidth="1"/>
    <col min="10265" max="10265" width="8.85546875" style="2" customWidth="1"/>
    <col min="10266" max="10267" width="0" style="2" hidden="1" customWidth="1"/>
    <col min="10268" max="10496" width="9.140625" style="2"/>
    <col min="10497" max="10497" width="1.42578125" style="2" customWidth="1"/>
    <col min="10498" max="10498" width="4.28515625" style="2" customWidth="1"/>
    <col min="10499" max="10499" width="16" style="2" customWidth="1"/>
    <col min="10500" max="10500" width="32.7109375" style="2" customWidth="1"/>
    <col min="10501" max="10507" width="7.7109375" style="2" customWidth="1"/>
    <col min="10508" max="10508" width="17.140625" style="2" customWidth="1"/>
    <col min="10509" max="10509" width="0.85546875" style="2" customWidth="1"/>
    <col min="10510" max="10510" width="9.140625" style="2" customWidth="1"/>
    <col min="10511" max="10511" width="43.42578125" style="2" customWidth="1"/>
    <col min="10512" max="10512" width="9.140625" style="2"/>
    <col min="10513" max="10520" width="9.140625" style="2" customWidth="1"/>
    <col min="10521" max="10521" width="8.85546875" style="2" customWidth="1"/>
    <col min="10522" max="10523" width="0" style="2" hidden="1" customWidth="1"/>
    <col min="10524" max="10752" width="9.140625" style="2"/>
    <col min="10753" max="10753" width="1.42578125" style="2" customWidth="1"/>
    <col min="10754" max="10754" width="4.28515625" style="2" customWidth="1"/>
    <col min="10755" max="10755" width="16" style="2" customWidth="1"/>
    <col min="10756" max="10756" width="32.7109375" style="2" customWidth="1"/>
    <col min="10757" max="10763" width="7.7109375" style="2" customWidth="1"/>
    <col min="10764" max="10764" width="17.140625" style="2" customWidth="1"/>
    <col min="10765" max="10765" width="0.85546875" style="2" customWidth="1"/>
    <col min="10766" max="10766" width="9.140625" style="2" customWidth="1"/>
    <col min="10767" max="10767" width="43.42578125" style="2" customWidth="1"/>
    <col min="10768" max="10768" width="9.140625" style="2"/>
    <col min="10769" max="10776" width="9.140625" style="2" customWidth="1"/>
    <col min="10777" max="10777" width="8.85546875" style="2" customWidth="1"/>
    <col min="10778" max="10779" width="0" style="2" hidden="1" customWidth="1"/>
    <col min="10780" max="11008" width="9.140625" style="2"/>
    <col min="11009" max="11009" width="1.42578125" style="2" customWidth="1"/>
    <col min="11010" max="11010" width="4.28515625" style="2" customWidth="1"/>
    <col min="11011" max="11011" width="16" style="2" customWidth="1"/>
    <col min="11012" max="11012" width="32.7109375" style="2" customWidth="1"/>
    <col min="11013" max="11019" width="7.7109375" style="2" customWidth="1"/>
    <col min="11020" max="11020" width="17.140625" style="2" customWidth="1"/>
    <col min="11021" max="11021" width="0.85546875" style="2" customWidth="1"/>
    <col min="11022" max="11022" width="9.140625" style="2" customWidth="1"/>
    <col min="11023" max="11023" width="43.42578125" style="2" customWidth="1"/>
    <col min="11024" max="11024" width="9.140625" style="2"/>
    <col min="11025" max="11032" width="9.140625" style="2" customWidth="1"/>
    <col min="11033" max="11033" width="8.85546875" style="2" customWidth="1"/>
    <col min="11034" max="11035" width="0" style="2" hidden="1" customWidth="1"/>
    <col min="11036" max="11264" width="9.140625" style="2"/>
    <col min="11265" max="11265" width="1.42578125" style="2" customWidth="1"/>
    <col min="11266" max="11266" width="4.28515625" style="2" customWidth="1"/>
    <col min="11267" max="11267" width="16" style="2" customWidth="1"/>
    <col min="11268" max="11268" width="32.7109375" style="2" customWidth="1"/>
    <col min="11269" max="11275" width="7.7109375" style="2" customWidth="1"/>
    <col min="11276" max="11276" width="17.140625" style="2" customWidth="1"/>
    <col min="11277" max="11277" width="0.85546875" style="2" customWidth="1"/>
    <col min="11278" max="11278" width="9.140625" style="2" customWidth="1"/>
    <col min="11279" max="11279" width="43.42578125" style="2" customWidth="1"/>
    <col min="11280" max="11280" width="9.140625" style="2"/>
    <col min="11281" max="11288" width="9.140625" style="2" customWidth="1"/>
    <col min="11289" max="11289" width="8.85546875" style="2" customWidth="1"/>
    <col min="11290" max="11291" width="0" style="2" hidden="1" customWidth="1"/>
    <col min="11292" max="11520" width="9.140625" style="2"/>
    <col min="11521" max="11521" width="1.42578125" style="2" customWidth="1"/>
    <col min="11522" max="11522" width="4.28515625" style="2" customWidth="1"/>
    <col min="11523" max="11523" width="16" style="2" customWidth="1"/>
    <col min="11524" max="11524" width="32.7109375" style="2" customWidth="1"/>
    <col min="11525" max="11531" width="7.7109375" style="2" customWidth="1"/>
    <col min="11532" max="11532" width="17.140625" style="2" customWidth="1"/>
    <col min="11533" max="11533" width="0.85546875" style="2" customWidth="1"/>
    <col min="11534" max="11534" width="9.140625" style="2" customWidth="1"/>
    <col min="11535" max="11535" width="43.42578125" style="2" customWidth="1"/>
    <col min="11536" max="11536" width="9.140625" style="2"/>
    <col min="11537" max="11544" width="9.140625" style="2" customWidth="1"/>
    <col min="11545" max="11545" width="8.85546875" style="2" customWidth="1"/>
    <col min="11546" max="11547" width="0" style="2" hidden="1" customWidth="1"/>
    <col min="11548" max="11776" width="9.140625" style="2"/>
    <col min="11777" max="11777" width="1.42578125" style="2" customWidth="1"/>
    <col min="11778" max="11778" width="4.28515625" style="2" customWidth="1"/>
    <col min="11779" max="11779" width="16" style="2" customWidth="1"/>
    <col min="11780" max="11780" width="32.7109375" style="2" customWidth="1"/>
    <col min="11781" max="11787" width="7.7109375" style="2" customWidth="1"/>
    <col min="11788" max="11788" width="17.140625" style="2" customWidth="1"/>
    <col min="11789" max="11789" width="0.85546875" style="2" customWidth="1"/>
    <col min="11790" max="11790" width="9.140625" style="2" customWidth="1"/>
    <col min="11791" max="11791" width="43.42578125" style="2" customWidth="1"/>
    <col min="11792" max="11792" width="9.140625" style="2"/>
    <col min="11793" max="11800" width="9.140625" style="2" customWidth="1"/>
    <col min="11801" max="11801" width="8.85546875" style="2" customWidth="1"/>
    <col min="11802" max="11803" width="0" style="2" hidden="1" customWidth="1"/>
    <col min="11804" max="12032" width="9.140625" style="2"/>
    <col min="12033" max="12033" width="1.42578125" style="2" customWidth="1"/>
    <col min="12034" max="12034" width="4.28515625" style="2" customWidth="1"/>
    <col min="12035" max="12035" width="16" style="2" customWidth="1"/>
    <col min="12036" max="12036" width="32.7109375" style="2" customWidth="1"/>
    <col min="12037" max="12043" width="7.7109375" style="2" customWidth="1"/>
    <col min="12044" max="12044" width="17.140625" style="2" customWidth="1"/>
    <col min="12045" max="12045" width="0.85546875" style="2" customWidth="1"/>
    <col min="12046" max="12046" width="9.140625" style="2" customWidth="1"/>
    <col min="12047" max="12047" width="43.42578125" style="2" customWidth="1"/>
    <col min="12048" max="12048" width="9.140625" style="2"/>
    <col min="12049" max="12056" width="9.140625" style="2" customWidth="1"/>
    <col min="12057" max="12057" width="8.85546875" style="2" customWidth="1"/>
    <col min="12058" max="12059" width="0" style="2" hidden="1" customWidth="1"/>
    <col min="12060" max="12288" width="9.140625" style="2"/>
    <col min="12289" max="12289" width="1.42578125" style="2" customWidth="1"/>
    <col min="12290" max="12290" width="4.28515625" style="2" customWidth="1"/>
    <col min="12291" max="12291" width="16" style="2" customWidth="1"/>
    <col min="12292" max="12292" width="32.7109375" style="2" customWidth="1"/>
    <col min="12293" max="12299" width="7.7109375" style="2" customWidth="1"/>
    <col min="12300" max="12300" width="17.140625" style="2" customWidth="1"/>
    <col min="12301" max="12301" width="0.85546875" style="2" customWidth="1"/>
    <col min="12302" max="12302" width="9.140625" style="2" customWidth="1"/>
    <col min="12303" max="12303" width="43.42578125" style="2" customWidth="1"/>
    <col min="12304" max="12304" width="9.140625" style="2"/>
    <col min="12305" max="12312" width="9.140625" style="2" customWidth="1"/>
    <col min="12313" max="12313" width="8.85546875" style="2" customWidth="1"/>
    <col min="12314" max="12315" width="0" style="2" hidden="1" customWidth="1"/>
    <col min="12316" max="12544" width="9.140625" style="2"/>
    <col min="12545" max="12545" width="1.42578125" style="2" customWidth="1"/>
    <col min="12546" max="12546" width="4.28515625" style="2" customWidth="1"/>
    <col min="12547" max="12547" width="16" style="2" customWidth="1"/>
    <col min="12548" max="12548" width="32.7109375" style="2" customWidth="1"/>
    <col min="12549" max="12555" width="7.7109375" style="2" customWidth="1"/>
    <col min="12556" max="12556" width="17.140625" style="2" customWidth="1"/>
    <col min="12557" max="12557" width="0.85546875" style="2" customWidth="1"/>
    <col min="12558" max="12558" width="9.140625" style="2" customWidth="1"/>
    <col min="12559" max="12559" width="43.42578125" style="2" customWidth="1"/>
    <col min="12560" max="12560" width="9.140625" style="2"/>
    <col min="12561" max="12568" width="9.140625" style="2" customWidth="1"/>
    <col min="12569" max="12569" width="8.85546875" style="2" customWidth="1"/>
    <col min="12570" max="12571" width="0" style="2" hidden="1" customWidth="1"/>
    <col min="12572" max="12800" width="9.140625" style="2"/>
    <col min="12801" max="12801" width="1.42578125" style="2" customWidth="1"/>
    <col min="12802" max="12802" width="4.28515625" style="2" customWidth="1"/>
    <col min="12803" max="12803" width="16" style="2" customWidth="1"/>
    <col min="12804" max="12804" width="32.7109375" style="2" customWidth="1"/>
    <col min="12805" max="12811" width="7.7109375" style="2" customWidth="1"/>
    <col min="12812" max="12812" width="17.140625" style="2" customWidth="1"/>
    <col min="12813" max="12813" width="0.85546875" style="2" customWidth="1"/>
    <col min="12814" max="12814" width="9.140625" style="2" customWidth="1"/>
    <col min="12815" max="12815" width="43.42578125" style="2" customWidth="1"/>
    <col min="12816" max="12816" width="9.140625" style="2"/>
    <col min="12817" max="12824" width="9.140625" style="2" customWidth="1"/>
    <col min="12825" max="12825" width="8.85546875" style="2" customWidth="1"/>
    <col min="12826" max="12827" width="0" style="2" hidden="1" customWidth="1"/>
    <col min="12828" max="13056" width="9.140625" style="2"/>
    <col min="13057" max="13057" width="1.42578125" style="2" customWidth="1"/>
    <col min="13058" max="13058" width="4.28515625" style="2" customWidth="1"/>
    <col min="13059" max="13059" width="16" style="2" customWidth="1"/>
    <col min="13060" max="13060" width="32.7109375" style="2" customWidth="1"/>
    <col min="13061" max="13067" width="7.7109375" style="2" customWidth="1"/>
    <col min="13068" max="13068" width="17.140625" style="2" customWidth="1"/>
    <col min="13069" max="13069" width="0.85546875" style="2" customWidth="1"/>
    <col min="13070" max="13070" width="9.140625" style="2" customWidth="1"/>
    <col min="13071" max="13071" width="43.42578125" style="2" customWidth="1"/>
    <col min="13072" max="13072" width="9.140625" style="2"/>
    <col min="13073" max="13080" width="9.140625" style="2" customWidth="1"/>
    <col min="13081" max="13081" width="8.85546875" style="2" customWidth="1"/>
    <col min="13082" max="13083" width="0" style="2" hidden="1" customWidth="1"/>
    <col min="13084" max="13312" width="9.140625" style="2"/>
    <col min="13313" max="13313" width="1.42578125" style="2" customWidth="1"/>
    <col min="13314" max="13314" width="4.28515625" style="2" customWidth="1"/>
    <col min="13315" max="13315" width="16" style="2" customWidth="1"/>
    <col min="13316" max="13316" width="32.7109375" style="2" customWidth="1"/>
    <col min="13317" max="13323" width="7.7109375" style="2" customWidth="1"/>
    <col min="13324" max="13324" width="17.140625" style="2" customWidth="1"/>
    <col min="13325" max="13325" width="0.85546875" style="2" customWidth="1"/>
    <col min="13326" max="13326" width="9.140625" style="2" customWidth="1"/>
    <col min="13327" max="13327" width="43.42578125" style="2" customWidth="1"/>
    <col min="13328" max="13328" width="9.140625" style="2"/>
    <col min="13329" max="13336" width="9.140625" style="2" customWidth="1"/>
    <col min="13337" max="13337" width="8.85546875" style="2" customWidth="1"/>
    <col min="13338" max="13339" width="0" style="2" hidden="1" customWidth="1"/>
    <col min="13340" max="13568" width="9.140625" style="2"/>
    <col min="13569" max="13569" width="1.42578125" style="2" customWidth="1"/>
    <col min="13570" max="13570" width="4.28515625" style="2" customWidth="1"/>
    <col min="13571" max="13571" width="16" style="2" customWidth="1"/>
    <col min="13572" max="13572" width="32.7109375" style="2" customWidth="1"/>
    <col min="13573" max="13579" width="7.7109375" style="2" customWidth="1"/>
    <col min="13580" max="13580" width="17.140625" style="2" customWidth="1"/>
    <col min="13581" max="13581" width="0.85546875" style="2" customWidth="1"/>
    <col min="13582" max="13582" width="9.140625" style="2" customWidth="1"/>
    <col min="13583" max="13583" width="43.42578125" style="2" customWidth="1"/>
    <col min="13584" max="13584" width="9.140625" style="2"/>
    <col min="13585" max="13592" width="9.140625" style="2" customWidth="1"/>
    <col min="13593" max="13593" width="8.85546875" style="2" customWidth="1"/>
    <col min="13594" max="13595" width="0" style="2" hidden="1" customWidth="1"/>
    <col min="13596" max="13824" width="9.140625" style="2"/>
    <col min="13825" max="13825" width="1.42578125" style="2" customWidth="1"/>
    <col min="13826" max="13826" width="4.28515625" style="2" customWidth="1"/>
    <col min="13827" max="13827" width="16" style="2" customWidth="1"/>
    <col min="13828" max="13828" width="32.7109375" style="2" customWidth="1"/>
    <col min="13829" max="13835" width="7.7109375" style="2" customWidth="1"/>
    <col min="13836" max="13836" width="17.140625" style="2" customWidth="1"/>
    <col min="13837" max="13837" width="0.85546875" style="2" customWidth="1"/>
    <col min="13838" max="13838" width="9.140625" style="2" customWidth="1"/>
    <col min="13839" max="13839" width="43.42578125" style="2" customWidth="1"/>
    <col min="13840" max="13840" width="9.140625" style="2"/>
    <col min="13841" max="13848" width="9.140625" style="2" customWidth="1"/>
    <col min="13849" max="13849" width="8.85546875" style="2" customWidth="1"/>
    <col min="13850" max="13851" width="0" style="2" hidden="1" customWidth="1"/>
    <col min="13852" max="14080" width="9.140625" style="2"/>
    <col min="14081" max="14081" width="1.42578125" style="2" customWidth="1"/>
    <col min="14082" max="14082" width="4.28515625" style="2" customWidth="1"/>
    <col min="14083" max="14083" width="16" style="2" customWidth="1"/>
    <col min="14084" max="14084" width="32.7109375" style="2" customWidth="1"/>
    <col min="14085" max="14091" width="7.7109375" style="2" customWidth="1"/>
    <col min="14092" max="14092" width="17.140625" style="2" customWidth="1"/>
    <col min="14093" max="14093" width="0.85546875" style="2" customWidth="1"/>
    <col min="14094" max="14094" width="9.140625" style="2" customWidth="1"/>
    <col min="14095" max="14095" width="43.42578125" style="2" customWidth="1"/>
    <col min="14096" max="14096" width="9.140625" style="2"/>
    <col min="14097" max="14104" width="9.140625" style="2" customWidth="1"/>
    <col min="14105" max="14105" width="8.85546875" style="2" customWidth="1"/>
    <col min="14106" max="14107" width="0" style="2" hidden="1" customWidth="1"/>
    <col min="14108" max="14336" width="9.140625" style="2"/>
    <col min="14337" max="14337" width="1.42578125" style="2" customWidth="1"/>
    <col min="14338" max="14338" width="4.28515625" style="2" customWidth="1"/>
    <col min="14339" max="14339" width="16" style="2" customWidth="1"/>
    <col min="14340" max="14340" width="32.7109375" style="2" customWidth="1"/>
    <col min="14341" max="14347" width="7.7109375" style="2" customWidth="1"/>
    <col min="14348" max="14348" width="17.140625" style="2" customWidth="1"/>
    <col min="14349" max="14349" width="0.85546875" style="2" customWidth="1"/>
    <col min="14350" max="14350" width="9.140625" style="2" customWidth="1"/>
    <col min="14351" max="14351" width="43.42578125" style="2" customWidth="1"/>
    <col min="14352" max="14352" width="9.140625" style="2"/>
    <col min="14353" max="14360" width="9.140625" style="2" customWidth="1"/>
    <col min="14361" max="14361" width="8.85546875" style="2" customWidth="1"/>
    <col min="14362" max="14363" width="0" style="2" hidden="1" customWidth="1"/>
    <col min="14364" max="14592" width="9.140625" style="2"/>
    <col min="14593" max="14593" width="1.42578125" style="2" customWidth="1"/>
    <col min="14594" max="14594" width="4.28515625" style="2" customWidth="1"/>
    <col min="14595" max="14595" width="16" style="2" customWidth="1"/>
    <col min="14596" max="14596" width="32.7109375" style="2" customWidth="1"/>
    <col min="14597" max="14603" width="7.7109375" style="2" customWidth="1"/>
    <col min="14604" max="14604" width="17.140625" style="2" customWidth="1"/>
    <col min="14605" max="14605" width="0.85546875" style="2" customWidth="1"/>
    <col min="14606" max="14606" width="9.140625" style="2" customWidth="1"/>
    <col min="14607" max="14607" width="43.42578125" style="2" customWidth="1"/>
    <col min="14608" max="14608" width="9.140625" style="2"/>
    <col min="14609" max="14616" width="9.140625" style="2" customWidth="1"/>
    <col min="14617" max="14617" width="8.85546875" style="2" customWidth="1"/>
    <col min="14618" max="14619" width="0" style="2" hidden="1" customWidth="1"/>
    <col min="14620" max="14848" width="9.140625" style="2"/>
    <col min="14849" max="14849" width="1.42578125" style="2" customWidth="1"/>
    <col min="14850" max="14850" width="4.28515625" style="2" customWidth="1"/>
    <col min="14851" max="14851" width="16" style="2" customWidth="1"/>
    <col min="14852" max="14852" width="32.7109375" style="2" customWidth="1"/>
    <col min="14853" max="14859" width="7.7109375" style="2" customWidth="1"/>
    <col min="14860" max="14860" width="17.140625" style="2" customWidth="1"/>
    <col min="14861" max="14861" width="0.85546875" style="2" customWidth="1"/>
    <col min="14862" max="14862" width="9.140625" style="2" customWidth="1"/>
    <col min="14863" max="14863" width="43.42578125" style="2" customWidth="1"/>
    <col min="14864" max="14864" width="9.140625" style="2"/>
    <col min="14865" max="14872" width="9.140625" style="2" customWidth="1"/>
    <col min="14873" max="14873" width="8.85546875" style="2" customWidth="1"/>
    <col min="14874" max="14875" width="0" style="2" hidden="1" customWidth="1"/>
    <col min="14876" max="15104" width="9.140625" style="2"/>
    <col min="15105" max="15105" width="1.42578125" style="2" customWidth="1"/>
    <col min="15106" max="15106" width="4.28515625" style="2" customWidth="1"/>
    <col min="15107" max="15107" width="16" style="2" customWidth="1"/>
    <col min="15108" max="15108" width="32.7109375" style="2" customWidth="1"/>
    <col min="15109" max="15115" width="7.7109375" style="2" customWidth="1"/>
    <col min="15116" max="15116" width="17.140625" style="2" customWidth="1"/>
    <col min="15117" max="15117" width="0.85546875" style="2" customWidth="1"/>
    <col min="15118" max="15118" width="9.140625" style="2" customWidth="1"/>
    <col min="15119" max="15119" width="43.42578125" style="2" customWidth="1"/>
    <col min="15120" max="15120" width="9.140625" style="2"/>
    <col min="15121" max="15128" width="9.140625" style="2" customWidth="1"/>
    <col min="15129" max="15129" width="8.85546875" style="2" customWidth="1"/>
    <col min="15130" max="15131" width="0" style="2" hidden="1" customWidth="1"/>
    <col min="15132" max="15360" width="9.140625" style="2"/>
    <col min="15361" max="15361" width="1.42578125" style="2" customWidth="1"/>
    <col min="15362" max="15362" width="4.28515625" style="2" customWidth="1"/>
    <col min="15363" max="15363" width="16" style="2" customWidth="1"/>
    <col min="15364" max="15364" width="32.7109375" style="2" customWidth="1"/>
    <col min="15365" max="15371" width="7.7109375" style="2" customWidth="1"/>
    <col min="15372" max="15372" width="17.140625" style="2" customWidth="1"/>
    <col min="15373" max="15373" width="0.85546875" style="2" customWidth="1"/>
    <col min="15374" max="15374" width="9.140625" style="2" customWidth="1"/>
    <col min="15375" max="15375" width="43.42578125" style="2" customWidth="1"/>
    <col min="15376" max="15376" width="9.140625" style="2"/>
    <col min="15377" max="15384" width="9.140625" style="2" customWidth="1"/>
    <col min="15385" max="15385" width="8.85546875" style="2" customWidth="1"/>
    <col min="15386" max="15387" width="0" style="2" hidden="1" customWidth="1"/>
    <col min="15388" max="15616" width="9.140625" style="2"/>
    <col min="15617" max="15617" width="1.42578125" style="2" customWidth="1"/>
    <col min="15618" max="15618" width="4.28515625" style="2" customWidth="1"/>
    <col min="15619" max="15619" width="16" style="2" customWidth="1"/>
    <col min="15620" max="15620" width="32.7109375" style="2" customWidth="1"/>
    <col min="15621" max="15627" width="7.7109375" style="2" customWidth="1"/>
    <col min="15628" max="15628" width="17.140625" style="2" customWidth="1"/>
    <col min="15629" max="15629" width="0.85546875" style="2" customWidth="1"/>
    <col min="15630" max="15630" width="9.140625" style="2" customWidth="1"/>
    <col min="15631" max="15631" width="43.42578125" style="2" customWidth="1"/>
    <col min="15632" max="15632" width="9.140625" style="2"/>
    <col min="15633" max="15640" width="9.140625" style="2" customWidth="1"/>
    <col min="15641" max="15641" width="8.85546875" style="2" customWidth="1"/>
    <col min="15642" max="15643" width="0" style="2" hidden="1" customWidth="1"/>
    <col min="15644" max="15872" width="9.140625" style="2"/>
    <col min="15873" max="15873" width="1.42578125" style="2" customWidth="1"/>
    <col min="15874" max="15874" width="4.28515625" style="2" customWidth="1"/>
    <col min="15875" max="15875" width="16" style="2" customWidth="1"/>
    <col min="15876" max="15876" width="32.7109375" style="2" customWidth="1"/>
    <col min="15877" max="15883" width="7.7109375" style="2" customWidth="1"/>
    <col min="15884" max="15884" width="17.140625" style="2" customWidth="1"/>
    <col min="15885" max="15885" width="0.85546875" style="2" customWidth="1"/>
    <col min="15886" max="15886" width="9.140625" style="2" customWidth="1"/>
    <col min="15887" max="15887" width="43.42578125" style="2" customWidth="1"/>
    <col min="15888" max="15888" width="9.140625" style="2"/>
    <col min="15889" max="15896" width="9.140625" style="2" customWidth="1"/>
    <col min="15897" max="15897" width="8.85546875" style="2" customWidth="1"/>
    <col min="15898" max="15899" width="0" style="2" hidden="1" customWidth="1"/>
    <col min="15900" max="16128" width="9.140625" style="2"/>
    <col min="16129" max="16129" width="1.42578125" style="2" customWidth="1"/>
    <col min="16130" max="16130" width="4.28515625" style="2" customWidth="1"/>
    <col min="16131" max="16131" width="16" style="2" customWidth="1"/>
    <col min="16132" max="16132" width="32.7109375" style="2" customWidth="1"/>
    <col min="16133" max="16139" width="7.7109375" style="2" customWidth="1"/>
    <col min="16140" max="16140" width="17.140625" style="2" customWidth="1"/>
    <col min="16141" max="16141" width="0.85546875" style="2" customWidth="1"/>
    <col min="16142" max="16142" width="9.140625" style="2" customWidth="1"/>
    <col min="16143" max="16143" width="43.42578125" style="2" customWidth="1"/>
    <col min="16144" max="16144" width="9.140625" style="2"/>
    <col min="16145" max="16152" width="9.140625" style="2" customWidth="1"/>
    <col min="16153" max="16153" width="8.85546875" style="2" customWidth="1"/>
    <col min="16154" max="16155" width="0" style="2" hidden="1" customWidth="1"/>
    <col min="16156" max="16384" width="9.140625" style="2"/>
  </cols>
  <sheetData>
    <row r="1" spans="1:16" ht="15" x14ac:dyDescent="0.25">
      <c r="A1" s="1"/>
      <c r="B1" s="1"/>
      <c r="H1" s="3"/>
      <c r="I1" s="3"/>
      <c r="J1" s="3"/>
      <c r="K1" s="3"/>
      <c r="L1" s="4"/>
    </row>
    <row r="2" spans="1:16" ht="15.75" x14ac:dyDescent="0.25">
      <c r="A2" s="1"/>
      <c r="B2" s="92" t="s">
        <v>0</v>
      </c>
      <c r="C2" s="92"/>
      <c r="D2" s="5"/>
      <c r="E2" s="5"/>
      <c r="F2" s="92" t="s">
        <v>1</v>
      </c>
      <c r="G2" s="93"/>
      <c r="H2" s="93"/>
      <c r="I2" s="93"/>
      <c r="J2" s="93"/>
      <c r="K2" s="93"/>
      <c r="L2" s="93"/>
    </row>
    <row r="3" spans="1:16" ht="15.75" x14ac:dyDescent="0.25">
      <c r="A3" s="1"/>
      <c r="B3" s="93" t="s">
        <v>202</v>
      </c>
      <c r="C3" s="93"/>
      <c r="D3" s="93"/>
      <c r="E3" s="93"/>
      <c r="F3" s="93" t="s">
        <v>3</v>
      </c>
      <c r="G3" s="93"/>
      <c r="H3" s="93"/>
      <c r="I3" s="93"/>
      <c r="J3" s="93"/>
      <c r="K3" s="93"/>
      <c r="L3" s="93"/>
    </row>
    <row r="4" spans="1:16" ht="15.75" x14ac:dyDescent="0.25">
      <c r="A4" s="1"/>
      <c r="B4" s="6" t="s">
        <v>201</v>
      </c>
      <c r="C4" s="6"/>
      <c r="D4" s="6"/>
      <c r="E4" s="5"/>
      <c r="F4" s="93" t="s">
        <v>200</v>
      </c>
      <c r="G4" s="93"/>
      <c r="H4" s="93"/>
      <c r="I4" s="93"/>
      <c r="J4" s="93"/>
      <c r="K4" s="93"/>
      <c r="L4" s="93"/>
    </row>
    <row r="5" spans="1:16" ht="15.75" x14ac:dyDescent="0.25">
      <c r="A5" s="1"/>
      <c r="B5" s="95"/>
      <c r="C5" s="95"/>
      <c r="D5" s="95"/>
      <c r="E5" s="5"/>
      <c r="F5" s="93" t="s">
        <v>201</v>
      </c>
      <c r="G5" s="93"/>
      <c r="H5" s="93"/>
      <c r="I5" s="93"/>
      <c r="J5" s="93"/>
      <c r="K5" s="93"/>
      <c r="L5" s="93"/>
    </row>
    <row r="6" spans="1:16" ht="15.75" x14ac:dyDescent="0.25">
      <c r="A6" s="1"/>
      <c r="B6" s="6" t="s">
        <v>203</v>
      </c>
      <c r="C6" s="6"/>
      <c r="D6" s="5"/>
      <c r="E6" s="5"/>
      <c r="F6" s="84" t="s">
        <v>6</v>
      </c>
      <c r="G6" s="84"/>
      <c r="H6" s="84" t="s">
        <v>7</v>
      </c>
      <c r="I6" s="84"/>
      <c r="J6" s="84"/>
      <c r="K6" s="84"/>
      <c r="L6" s="84"/>
    </row>
    <row r="7" spans="1:16" ht="15.75" x14ac:dyDescent="0.25">
      <c r="A7" s="1"/>
      <c r="B7" s="2" t="s">
        <v>4</v>
      </c>
      <c r="C7" s="6"/>
      <c r="D7" s="5"/>
      <c r="E7" s="5"/>
      <c r="F7" s="84" t="s">
        <v>4</v>
      </c>
      <c r="G7" s="84"/>
      <c r="H7" s="84"/>
      <c r="I7" s="84"/>
      <c r="J7" s="84"/>
      <c r="K7" s="84"/>
      <c r="L7" s="84"/>
    </row>
    <row r="8" spans="1:16" ht="15.75" x14ac:dyDescent="0.25">
      <c r="A8" s="1"/>
      <c r="B8" s="6"/>
      <c r="C8" s="6"/>
      <c r="D8" s="5"/>
      <c r="E8" s="5"/>
      <c r="K8" s="84"/>
      <c r="L8" s="84"/>
    </row>
    <row r="9" spans="1:16" ht="18" customHeight="1" x14ac:dyDescent="0.25">
      <c r="A9" s="1"/>
      <c r="B9" s="6"/>
      <c r="C9" s="5"/>
      <c r="D9" s="5"/>
      <c r="E9" s="5"/>
      <c r="K9" s="6"/>
      <c r="L9" s="8"/>
    </row>
    <row r="10" spans="1:16" ht="108" customHeight="1" x14ac:dyDescent="0.25">
      <c r="A10" s="1"/>
      <c r="B10" s="1"/>
      <c r="H10" s="3"/>
      <c r="I10" s="3"/>
      <c r="J10" s="3"/>
      <c r="K10" s="3"/>
      <c r="L10" s="4"/>
    </row>
    <row r="11" spans="1:16" ht="20.25" customHeight="1" x14ac:dyDescent="0.3">
      <c r="A11" s="91" t="s">
        <v>8</v>
      </c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"/>
      <c r="N11" s="9"/>
      <c r="O11" s="9"/>
      <c r="P11" s="9"/>
    </row>
    <row r="12" spans="1:16" ht="19.5" customHeight="1" x14ac:dyDescent="0.2">
      <c r="A12" s="10" t="s">
        <v>9</v>
      </c>
      <c r="B12" s="94" t="s">
        <v>10</v>
      </c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"/>
      <c r="N12" s="9"/>
      <c r="O12" s="9"/>
      <c r="P12" s="9"/>
    </row>
    <row r="13" spans="1:16" ht="19.5" customHeight="1" x14ac:dyDescent="0.2">
      <c r="A13" s="11"/>
      <c r="B13" s="94" t="s">
        <v>11</v>
      </c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"/>
      <c r="N13" s="9"/>
      <c r="O13" s="9"/>
      <c r="P13" s="9"/>
    </row>
    <row r="14" spans="1:16" ht="19.5" customHeight="1" x14ac:dyDescent="0.2">
      <c r="A14" s="11"/>
      <c r="B14" s="94" t="s">
        <v>12</v>
      </c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"/>
      <c r="N14" s="9"/>
      <c r="O14" s="9"/>
      <c r="P14" s="9"/>
    </row>
    <row r="15" spans="1:16" ht="19.5" customHeight="1" x14ac:dyDescent="0.2">
      <c r="A15" s="11"/>
      <c r="B15" s="94" t="s">
        <v>13</v>
      </c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"/>
      <c r="N15" s="9"/>
      <c r="O15" s="9"/>
      <c r="P15" s="9"/>
    </row>
    <row r="16" spans="1:16" ht="19.5" customHeight="1" x14ac:dyDescent="0.3">
      <c r="A16" s="12"/>
      <c r="B16" s="91" t="s">
        <v>14</v>
      </c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"/>
      <c r="N16" s="9"/>
      <c r="O16" s="9"/>
      <c r="P16" s="9"/>
    </row>
    <row r="17" spans="1:25" ht="19.5" customHeight="1" x14ac:dyDescent="0.3">
      <c r="A17" s="83"/>
      <c r="B17" s="91" t="s">
        <v>311</v>
      </c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"/>
      <c r="N17" s="9"/>
      <c r="O17" s="9"/>
      <c r="P17" s="9"/>
    </row>
    <row r="18" spans="1:25" ht="7.5" customHeight="1" x14ac:dyDescent="0.2">
      <c r="A18" s="14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14"/>
      <c r="N18" s="9"/>
      <c r="O18" s="9"/>
      <c r="P18" s="9"/>
    </row>
    <row r="19" spans="1:25" ht="2.25" customHeight="1" x14ac:dyDescent="0.3">
      <c r="A19" s="83"/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15"/>
      <c r="M19" s="9"/>
      <c r="N19" s="9"/>
      <c r="O19" s="9"/>
      <c r="P19" s="9"/>
    </row>
    <row r="20" spans="1:25" ht="30.75" customHeight="1" x14ac:dyDescent="0.2">
      <c r="A20" s="16"/>
      <c r="B20" s="97" t="s">
        <v>16</v>
      </c>
      <c r="C20" s="98" t="s">
        <v>17</v>
      </c>
      <c r="D20" s="98" t="s">
        <v>18</v>
      </c>
      <c r="E20" s="101" t="s">
        <v>19</v>
      </c>
      <c r="F20" s="102"/>
      <c r="G20" s="102"/>
      <c r="H20" s="102"/>
      <c r="I20" s="102"/>
      <c r="J20" s="102"/>
      <c r="K20" s="103"/>
      <c r="L20" s="97" t="s">
        <v>20</v>
      </c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spans="1:25" ht="17.25" customHeight="1" x14ac:dyDescent="0.25">
      <c r="A21" s="16"/>
      <c r="B21" s="97"/>
      <c r="C21" s="99"/>
      <c r="D21" s="99"/>
      <c r="E21" s="104" t="s">
        <v>21</v>
      </c>
      <c r="F21" s="105"/>
      <c r="G21" s="105"/>
      <c r="H21" s="106"/>
      <c r="I21" s="110" t="s">
        <v>197</v>
      </c>
      <c r="J21" s="111"/>
      <c r="K21" s="112" t="s">
        <v>22</v>
      </c>
      <c r="L21" s="9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spans="1:25" ht="57.75" customHeight="1" x14ac:dyDescent="0.2">
      <c r="A22" s="16"/>
      <c r="B22" s="97"/>
      <c r="C22" s="99"/>
      <c r="D22" s="99"/>
      <c r="E22" s="107"/>
      <c r="F22" s="108"/>
      <c r="G22" s="108"/>
      <c r="H22" s="109"/>
      <c r="I22" s="115" t="s">
        <v>23</v>
      </c>
      <c r="J22" s="116"/>
      <c r="K22" s="113"/>
      <c r="L22" s="9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spans="1:25" ht="15.75" customHeight="1" x14ac:dyDescent="0.2">
      <c r="A23" s="18"/>
      <c r="B23" s="97"/>
      <c r="C23" s="100"/>
      <c r="D23" s="100"/>
      <c r="E23" s="19" t="s">
        <v>24</v>
      </c>
      <c r="F23" s="20" t="s">
        <v>25</v>
      </c>
      <c r="G23" s="20" t="s">
        <v>26</v>
      </c>
      <c r="H23" s="20" t="s">
        <v>27</v>
      </c>
      <c r="I23" s="20" t="s">
        <v>25</v>
      </c>
      <c r="J23" s="20" t="s">
        <v>26</v>
      </c>
      <c r="K23" s="114"/>
      <c r="L23" s="97"/>
      <c r="P23" s="18"/>
      <c r="Q23" s="17"/>
      <c r="R23" s="17"/>
      <c r="S23" s="17"/>
      <c r="T23" s="17"/>
      <c r="U23" s="17"/>
      <c r="V23" s="17"/>
      <c r="W23" s="17"/>
      <c r="X23" s="17"/>
      <c r="Y23" s="17"/>
    </row>
    <row r="24" spans="1:25" ht="33" customHeight="1" x14ac:dyDescent="0.2">
      <c r="A24" s="18"/>
      <c r="B24" s="117" t="s">
        <v>28</v>
      </c>
      <c r="C24" s="118" t="s">
        <v>313</v>
      </c>
      <c r="D24" s="21" t="s">
        <v>315</v>
      </c>
      <c r="E24" s="27">
        <v>6</v>
      </c>
      <c r="F24" s="26">
        <v>6</v>
      </c>
      <c r="G24" s="26">
        <v>6</v>
      </c>
      <c r="H24" s="26">
        <v>6</v>
      </c>
      <c r="I24" s="27">
        <v>6</v>
      </c>
      <c r="J24" s="26">
        <v>6</v>
      </c>
      <c r="K24" s="26">
        <v>6</v>
      </c>
      <c r="L24" s="23" t="s">
        <v>273</v>
      </c>
      <c r="P24" s="18"/>
      <c r="Q24" s="24"/>
      <c r="R24" s="24"/>
      <c r="S24" s="24"/>
      <c r="T24" s="17"/>
      <c r="U24" s="24"/>
      <c r="V24" s="17"/>
      <c r="W24" s="17"/>
      <c r="X24" s="17"/>
      <c r="Y24" s="17"/>
    </row>
    <row r="25" spans="1:25" ht="47.25" customHeight="1" x14ac:dyDescent="0.2">
      <c r="A25" s="18"/>
      <c r="B25" s="117"/>
      <c r="C25" s="119"/>
      <c r="D25" s="25" t="s">
        <v>316</v>
      </c>
      <c r="E25" s="26">
        <v>1.2</v>
      </c>
      <c r="F25" s="26">
        <v>1.2</v>
      </c>
      <c r="G25" s="26">
        <v>1.2</v>
      </c>
      <c r="H25" s="26">
        <v>1.2</v>
      </c>
      <c r="I25" s="26">
        <v>1.2</v>
      </c>
      <c r="J25" s="26">
        <v>1.2</v>
      </c>
      <c r="K25" s="26">
        <v>1.2</v>
      </c>
      <c r="L25" s="23" t="s">
        <v>284</v>
      </c>
      <c r="P25" s="28"/>
      <c r="Q25" s="24"/>
      <c r="R25" s="24"/>
      <c r="S25" s="24"/>
      <c r="T25" s="17"/>
      <c r="U25" s="24"/>
      <c r="V25" s="17"/>
      <c r="W25" s="17"/>
      <c r="X25" s="17"/>
      <c r="Y25" s="17"/>
    </row>
    <row r="26" spans="1:25" ht="33" customHeight="1" x14ac:dyDescent="0.2">
      <c r="A26" s="18"/>
      <c r="B26" s="117"/>
      <c r="C26" s="119"/>
      <c r="D26" s="25" t="s">
        <v>317</v>
      </c>
      <c r="E26" s="26">
        <v>25.2</v>
      </c>
      <c r="F26" s="26">
        <v>25.2</v>
      </c>
      <c r="G26" s="26">
        <v>25.2</v>
      </c>
      <c r="H26" s="26">
        <v>25.2</v>
      </c>
      <c r="I26" s="26">
        <v>25.2</v>
      </c>
      <c r="J26" s="26">
        <v>25.2</v>
      </c>
      <c r="K26" s="26">
        <v>25.2</v>
      </c>
      <c r="L26" s="23" t="s">
        <v>273</v>
      </c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spans="1:25" ht="33.75" customHeight="1" x14ac:dyDescent="0.2">
      <c r="A27" s="18"/>
      <c r="B27" s="117"/>
      <c r="C27" s="119"/>
      <c r="D27" s="25" t="s">
        <v>209</v>
      </c>
      <c r="E27" s="26">
        <v>10</v>
      </c>
      <c r="F27" s="26">
        <v>10</v>
      </c>
      <c r="G27" s="26">
        <v>8</v>
      </c>
      <c r="H27" s="26">
        <v>6</v>
      </c>
      <c r="I27" s="26">
        <v>10</v>
      </c>
      <c r="J27" s="26">
        <v>10</v>
      </c>
      <c r="K27" s="26">
        <v>10</v>
      </c>
      <c r="L27" s="23" t="s">
        <v>37</v>
      </c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spans="1:25" ht="33.75" customHeight="1" x14ac:dyDescent="0.2">
      <c r="A28" s="18"/>
      <c r="B28" s="117"/>
      <c r="C28" s="119"/>
      <c r="D28" s="25" t="s">
        <v>210</v>
      </c>
      <c r="E28" s="26">
        <v>43</v>
      </c>
      <c r="F28" s="26">
        <v>34</v>
      </c>
      <c r="G28" s="26">
        <v>26</v>
      </c>
      <c r="H28" s="26">
        <v>17</v>
      </c>
      <c r="I28" s="26">
        <v>34</v>
      </c>
      <c r="J28" s="26">
        <v>26</v>
      </c>
      <c r="K28" s="27">
        <v>42</v>
      </c>
      <c r="L28" s="23" t="s">
        <v>281</v>
      </c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spans="1:25" ht="33.75" customHeight="1" x14ac:dyDescent="0.2">
      <c r="A29" s="18"/>
      <c r="B29" s="117"/>
      <c r="C29" s="119"/>
      <c r="D29" s="25" t="s">
        <v>318</v>
      </c>
      <c r="E29" s="26">
        <v>2</v>
      </c>
      <c r="F29" s="26">
        <v>2</v>
      </c>
      <c r="G29" s="26">
        <v>2</v>
      </c>
      <c r="H29" s="26">
        <v>2</v>
      </c>
      <c r="I29" s="26">
        <v>2</v>
      </c>
      <c r="J29" s="26">
        <v>2</v>
      </c>
      <c r="K29" s="26">
        <v>2</v>
      </c>
      <c r="L29" s="23" t="s">
        <v>282</v>
      </c>
      <c r="P29" s="17"/>
      <c r="Q29" s="24"/>
      <c r="R29" s="17"/>
      <c r="S29" s="17"/>
      <c r="T29" s="17"/>
      <c r="U29" s="17"/>
      <c r="V29" s="17"/>
      <c r="W29" s="17"/>
      <c r="X29" s="17"/>
      <c r="Y29" s="17"/>
    </row>
    <row r="30" spans="1:25" ht="46.5" customHeight="1" x14ac:dyDescent="0.2">
      <c r="A30" s="18"/>
      <c r="B30" s="117"/>
      <c r="C30" s="119"/>
      <c r="D30" s="25" t="s">
        <v>247</v>
      </c>
      <c r="E30" s="26">
        <v>4</v>
      </c>
      <c r="F30" s="26">
        <v>4</v>
      </c>
      <c r="G30" s="26">
        <v>4</v>
      </c>
      <c r="H30" s="26">
        <v>4</v>
      </c>
      <c r="I30" s="26"/>
      <c r="J30" s="26"/>
      <c r="K30" s="27"/>
      <c r="L30" s="23" t="s">
        <v>283</v>
      </c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 spans="1:25" ht="33" customHeight="1" x14ac:dyDescent="0.2">
      <c r="A31" s="18"/>
      <c r="B31" s="117"/>
      <c r="C31" s="119"/>
      <c r="D31" s="25" t="s">
        <v>312</v>
      </c>
      <c r="E31" s="26">
        <v>30</v>
      </c>
      <c r="F31" s="26">
        <v>30</v>
      </c>
      <c r="G31" s="26">
        <v>30</v>
      </c>
      <c r="H31" s="26">
        <v>30</v>
      </c>
      <c r="I31" s="26">
        <v>30</v>
      </c>
      <c r="J31" s="26">
        <v>30</v>
      </c>
      <c r="K31" s="26">
        <v>30</v>
      </c>
      <c r="L31" s="23" t="s">
        <v>37</v>
      </c>
    </row>
    <row r="32" spans="1:25" ht="31.5" x14ac:dyDescent="0.2">
      <c r="A32" s="18"/>
      <c r="B32" s="117"/>
      <c r="C32" s="119"/>
      <c r="D32" s="30" t="s">
        <v>41</v>
      </c>
      <c r="E32" s="39">
        <f>SUM(E24:E31)</f>
        <v>121.4</v>
      </c>
      <c r="F32" s="39">
        <f>SUM(F24:F31)</f>
        <v>112.4</v>
      </c>
      <c r="G32" s="39">
        <f t="shared" ref="G32:K32" si="0">SUM(G24:G31)</f>
        <v>102.4</v>
      </c>
      <c r="H32" s="39">
        <f t="shared" si="0"/>
        <v>91.4</v>
      </c>
      <c r="I32" s="39">
        <f t="shared" si="0"/>
        <v>108.4</v>
      </c>
      <c r="J32" s="39">
        <f t="shared" si="0"/>
        <v>100.4</v>
      </c>
      <c r="K32" s="39">
        <f t="shared" si="0"/>
        <v>116.4</v>
      </c>
      <c r="L32" s="33"/>
    </row>
    <row r="33" spans="1:12" ht="6" customHeight="1" x14ac:dyDescent="0.2">
      <c r="A33" s="18"/>
      <c r="B33" s="85"/>
      <c r="C33" s="85"/>
      <c r="D33" s="35"/>
      <c r="E33" s="36"/>
      <c r="F33" s="36"/>
      <c r="G33" s="36"/>
      <c r="H33" s="36"/>
      <c r="I33" s="36"/>
      <c r="J33" s="36"/>
      <c r="K33" s="37"/>
      <c r="L33" s="33"/>
    </row>
    <row r="34" spans="1:12" ht="48.75" customHeight="1" x14ac:dyDescent="0.2">
      <c r="A34" s="18"/>
      <c r="B34" s="117" t="s">
        <v>42</v>
      </c>
      <c r="C34" s="117" t="s">
        <v>314</v>
      </c>
      <c r="D34" s="38" t="s">
        <v>44</v>
      </c>
      <c r="E34" s="26">
        <v>1.2</v>
      </c>
      <c r="F34" s="26">
        <v>1.2</v>
      </c>
      <c r="G34" s="26">
        <v>1.2</v>
      </c>
      <c r="H34" s="26">
        <v>1.2</v>
      </c>
      <c r="I34" s="26">
        <v>1.2</v>
      </c>
      <c r="J34" s="26">
        <v>1.2</v>
      </c>
      <c r="K34" s="26">
        <v>1.2</v>
      </c>
      <c r="L34" s="23" t="s">
        <v>284</v>
      </c>
    </row>
    <row r="35" spans="1:12" ht="15.75" x14ac:dyDescent="0.2">
      <c r="A35" s="18"/>
      <c r="B35" s="117"/>
      <c r="C35" s="117"/>
      <c r="D35" s="38" t="s">
        <v>319</v>
      </c>
      <c r="E35" s="26">
        <v>7</v>
      </c>
      <c r="F35" s="26">
        <v>7</v>
      </c>
      <c r="G35" s="26">
        <v>7</v>
      </c>
      <c r="H35" s="26">
        <v>7</v>
      </c>
      <c r="I35" s="26">
        <v>7</v>
      </c>
      <c r="J35" s="26">
        <v>7</v>
      </c>
      <c r="K35" s="26">
        <v>7</v>
      </c>
      <c r="L35" s="23" t="s">
        <v>279</v>
      </c>
    </row>
    <row r="36" spans="1:12" ht="31.5" x14ac:dyDescent="0.2">
      <c r="A36" s="18"/>
      <c r="B36" s="117"/>
      <c r="C36" s="117"/>
      <c r="D36" s="38" t="s">
        <v>330</v>
      </c>
      <c r="E36" s="26">
        <v>3</v>
      </c>
      <c r="F36" s="26">
        <v>3</v>
      </c>
      <c r="G36" s="26">
        <v>3</v>
      </c>
      <c r="H36" s="26">
        <v>3</v>
      </c>
      <c r="I36" s="26">
        <v>3</v>
      </c>
      <c r="J36" s="26">
        <v>3</v>
      </c>
      <c r="K36" s="26">
        <v>3</v>
      </c>
      <c r="L36" s="23" t="s">
        <v>280</v>
      </c>
    </row>
    <row r="37" spans="1:12" ht="47.25" x14ac:dyDescent="0.2">
      <c r="A37" s="18"/>
      <c r="B37" s="117"/>
      <c r="C37" s="117"/>
      <c r="D37" s="38" t="s">
        <v>331</v>
      </c>
      <c r="E37" s="26">
        <v>25.2</v>
      </c>
      <c r="F37" s="26">
        <v>25.2</v>
      </c>
      <c r="G37" s="26">
        <v>25.2</v>
      </c>
      <c r="H37" s="26">
        <v>25.2</v>
      </c>
      <c r="I37" s="26">
        <v>25.2</v>
      </c>
      <c r="J37" s="26">
        <v>25.2</v>
      </c>
      <c r="K37" s="26">
        <v>25.2</v>
      </c>
      <c r="L37" s="23" t="s">
        <v>273</v>
      </c>
    </row>
    <row r="38" spans="1:12" ht="31.5" x14ac:dyDescent="0.2">
      <c r="A38" s="18"/>
      <c r="B38" s="117"/>
      <c r="C38" s="117"/>
      <c r="D38" s="38" t="s">
        <v>332</v>
      </c>
      <c r="E38" s="26">
        <v>10</v>
      </c>
      <c r="F38" s="26">
        <v>10</v>
      </c>
      <c r="G38" s="26">
        <v>8</v>
      </c>
      <c r="H38" s="26">
        <v>6</v>
      </c>
      <c r="I38" s="26">
        <v>10</v>
      </c>
      <c r="J38" s="26">
        <v>10</v>
      </c>
      <c r="K38" s="27">
        <v>10</v>
      </c>
      <c r="L38" s="23" t="s">
        <v>37</v>
      </c>
    </row>
    <row r="39" spans="1:12" ht="31.5" x14ac:dyDescent="0.2">
      <c r="A39" s="18"/>
      <c r="B39" s="117"/>
      <c r="C39" s="117"/>
      <c r="D39" s="38" t="s">
        <v>333</v>
      </c>
      <c r="E39" s="26">
        <v>43</v>
      </c>
      <c r="F39" s="26">
        <v>34</v>
      </c>
      <c r="G39" s="26">
        <v>26</v>
      </c>
      <c r="H39" s="26">
        <v>17</v>
      </c>
      <c r="I39" s="26">
        <v>34</v>
      </c>
      <c r="J39" s="26">
        <v>26</v>
      </c>
      <c r="K39" s="27">
        <v>42</v>
      </c>
      <c r="L39" s="23" t="s">
        <v>281</v>
      </c>
    </row>
    <row r="40" spans="1:12" ht="34.5" customHeight="1" x14ac:dyDescent="0.2">
      <c r="A40" s="18"/>
      <c r="B40" s="117"/>
      <c r="C40" s="117"/>
      <c r="D40" s="38" t="s">
        <v>334</v>
      </c>
      <c r="E40" s="26">
        <v>2</v>
      </c>
      <c r="F40" s="26">
        <v>2</v>
      </c>
      <c r="G40" s="26">
        <v>2</v>
      </c>
      <c r="H40" s="26">
        <v>2</v>
      </c>
      <c r="I40" s="26">
        <v>2</v>
      </c>
      <c r="J40" s="26">
        <v>2</v>
      </c>
      <c r="K40" s="26">
        <v>2</v>
      </c>
      <c r="L40" s="23" t="s">
        <v>282</v>
      </c>
    </row>
    <row r="41" spans="1:12" ht="47.25" x14ac:dyDescent="0.2">
      <c r="A41" s="18"/>
      <c r="B41" s="117"/>
      <c r="C41" s="117"/>
      <c r="D41" s="38" t="s">
        <v>335</v>
      </c>
      <c r="E41" s="26">
        <v>4</v>
      </c>
      <c r="F41" s="26">
        <v>4</v>
      </c>
      <c r="G41" s="26">
        <v>4</v>
      </c>
      <c r="H41" s="26">
        <v>4</v>
      </c>
      <c r="I41" s="23"/>
      <c r="J41" s="23"/>
      <c r="K41" s="22"/>
      <c r="L41" s="23" t="s">
        <v>283</v>
      </c>
    </row>
    <row r="42" spans="1:12" ht="31.5" x14ac:dyDescent="0.2">
      <c r="A42" s="18"/>
      <c r="B42" s="117"/>
      <c r="C42" s="117"/>
      <c r="D42" s="25" t="s">
        <v>336</v>
      </c>
      <c r="E42" s="26">
        <v>30</v>
      </c>
      <c r="F42" s="26">
        <v>30</v>
      </c>
      <c r="G42" s="26">
        <v>30</v>
      </c>
      <c r="H42" s="26">
        <v>30</v>
      </c>
      <c r="I42" s="26">
        <v>30</v>
      </c>
      <c r="J42" s="26">
        <v>30</v>
      </c>
      <c r="K42" s="26">
        <v>30</v>
      </c>
      <c r="L42" s="23" t="s">
        <v>37</v>
      </c>
    </row>
    <row r="43" spans="1:12" ht="48" customHeight="1" x14ac:dyDescent="0.2">
      <c r="A43" s="18"/>
      <c r="B43" s="117"/>
      <c r="C43" s="117"/>
      <c r="D43" s="89" t="s">
        <v>41</v>
      </c>
      <c r="E43" s="39">
        <f t="shared" ref="E43:K43" si="1">SUM(E34:E42)</f>
        <v>125.4</v>
      </c>
      <c r="F43" s="39">
        <f t="shared" si="1"/>
        <v>116.4</v>
      </c>
      <c r="G43" s="39">
        <f t="shared" si="1"/>
        <v>106.4</v>
      </c>
      <c r="H43" s="39">
        <f t="shared" si="1"/>
        <v>95.4</v>
      </c>
      <c r="I43" s="39">
        <f t="shared" si="1"/>
        <v>112.4</v>
      </c>
      <c r="J43" s="39">
        <f t="shared" si="1"/>
        <v>104.4</v>
      </c>
      <c r="K43" s="39">
        <f t="shared" si="1"/>
        <v>120.4</v>
      </c>
      <c r="L43" s="23"/>
    </row>
    <row r="44" spans="1:12" ht="6" customHeight="1" x14ac:dyDescent="0.2">
      <c r="A44" s="28"/>
      <c r="B44" s="85"/>
      <c r="C44" s="85"/>
      <c r="D44" s="43"/>
      <c r="E44" s="36"/>
      <c r="F44" s="36"/>
      <c r="G44" s="36"/>
      <c r="H44" s="36"/>
      <c r="I44" s="36"/>
      <c r="J44" s="36"/>
      <c r="K44" s="36"/>
      <c r="L44" s="33"/>
    </row>
    <row r="45" spans="1:12" ht="33" customHeight="1" x14ac:dyDescent="0.2">
      <c r="A45" s="28"/>
      <c r="B45" s="117" t="s">
        <v>54</v>
      </c>
      <c r="C45" s="117" t="s">
        <v>320</v>
      </c>
      <c r="D45" s="44" t="s">
        <v>324</v>
      </c>
      <c r="E45" s="26">
        <v>6</v>
      </c>
      <c r="F45" s="26">
        <v>6</v>
      </c>
      <c r="G45" s="26">
        <v>6</v>
      </c>
      <c r="H45" s="26">
        <v>6</v>
      </c>
      <c r="I45" s="26">
        <v>6</v>
      </c>
      <c r="J45" s="26">
        <v>6</v>
      </c>
      <c r="K45" s="27">
        <v>6</v>
      </c>
      <c r="L45" s="23" t="s">
        <v>273</v>
      </c>
    </row>
    <row r="46" spans="1:12" ht="47.25" customHeight="1" x14ac:dyDescent="0.2">
      <c r="A46" s="28"/>
      <c r="B46" s="117"/>
      <c r="C46" s="117"/>
      <c r="D46" s="44" t="s">
        <v>325</v>
      </c>
      <c r="E46" s="26">
        <v>1.2</v>
      </c>
      <c r="F46" s="26">
        <v>1.2</v>
      </c>
      <c r="G46" s="26">
        <v>1.2</v>
      </c>
      <c r="H46" s="26">
        <v>1.2</v>
      </c>
      <c r="I46" s="26">
        <v>1.2</v>
      </c>
      <c r="J46" s="26">
        <v>1.2</v>
      </c>
      <c r="K46" s="26">
        <v>1.2</v>
      </c>
      <c r="L46" s="23" t="s">
        <v>284</v>
      </c>
    </row>
    <row r="47" spans="1:12" ht="63" customHeight="1" x14ac:dyDescent="0.2">
      <c r="A47" s="28"/>
      <c r="B47" s="117"/>
      <c r="C47" s="117"/>
      <c r="D47" s="44" t="s">
        <v>326</v>
      </c>
      <c r="E47" s="26">
        <v>14.4</v>
      </c>
      <c r="F47" s="26">
        <v>14.4</v>
      </c>
      <c r="G47" s="26">
        <v>14.4</v>
      </c>
      <c r="H47" s="26">
        <v>14.4</v>
      </c>
      <c r="I47" s="26">
        <v>14.4</v>
      </c>
      <c r="J47" s="26">
        <v>14.4</v>
      </c>
      <c r="K47" s="26">
        <v>14.4</v>
      </c>
      <c r="L47" s="23" t="s">
        <v>273</v>
      </c>
    </row>
    <row r="48" spans="1:12" ht="30.75" customHeight="1" x14ac:dyDescent="0.2">
      <c r="A48" s="28"/>
      <c r="B48" s="117"/>
      <c r="C48" s="117"/>
      <c r="D48" s="38" t="s">
        <v>327</v>
      </c>
      <c r="E48" s="26">
        <v>16</v>
      </c>
      <c r="F48" s="26">
        <v>13</v>
      </c>
      <c r="G48" s="26">
        <v>10</v>
      </c>
      <c r="H48" s="26">
        <v>8</v>
      </c>
      <c r="I48" s="26">
        <v>13</v>
      </c>
      <c r="J48" s="26">
        <v>10</v>
      </c>
      <c r="K48" s="27">
        <v>20</v>
      </c>
      <c r="L48" s="23" t="s">
        <v>286</v>
      </c>
    </row>
    <row r="49" spans="1:12" ht="36" customHeight="1" x14ac:dyDescent="0.2">
      <c r="A49" s="28"/>
      <c r="B49" s="117"/>
      <c r="C49" s="117"/>
      <c r="D49" s="44" t="s">
        <v>223</v>
      </c>
      <c r="E49" s="26">
        <v>2</v>
      </c>
      <c r="F49" s="26">
        <v>2</v>
      </c>
      <c r="G49" s="26">
        <v>2</v>
      </c>
      <c r="H49" s="26">
        <v>2</v>
      </c>
      <c r="I49" s="26">
        <v>2</v>
      </c>
      <c r="J49" s="26">
        <v>2</v>
      </c>
      <c r="K49" s="26">
        <v>2</v>
      </c>
      <c r="L49" s="23" t="s">
        <v>282</v>
      </c>
    </row>
    <row r="50" spans="1:12" ht="31.5" customHeight="1" x14ac:dyDescent="0.2">
      <c r="A50" s="28"/>
      <c r="B50" s="117"/>
      <c r="C50" s="117"/>
      <c r="D50" s="44" t="s">
        <v>224</v>
      </c>
      <c r="E50" s="26">
        <v>4</v>
      </c>
      <c r="F50" s="26">
        <v>4</v>
      </c>
      <c r="G50" s="26">
        <v>4</v>
      </c>
      <c r="H50" s="26">
        <v>4</v>
      </c>
      <c r="I50" s="26"/>
      <c r="J50" s="26"/>
      <c r="K50" s="26"/>
      <c r="L50" s="23" t="s">
        <v>283</v>
      </c>
    </row>
    <row r="51" spans="1:12" ht="31.5" x14ac:dyDescent="0.2">
      <c r="A51" s="28"/>
      <c r="B51" s="117"/>
      <c r="C51" s="117"/>
      <c r="D51" s="47" t="s">
        <v>321</v>
      </c>
      <c r="E51" s="39">
        <f>SUM(E45:E50)</f>
        <v>43.6</v>
      </c>
      <c r="F51" s="39">
        <f t="shared" ref="F51:K51" si="2">SUM(F45:F50)</f>
        <v>40.6</v>
      </c>
      <c r="G51" s="39">
        <f t="shared" si="2"/>
        <v>37.6</v>
      </c>
      <c r="H51" s="39">
        <f t="shared" si="2"/>
        <v>35.6</v>
      </c>
      <c r="I51" s="39">
        <f t="shared" si="2"/>
        <v>36.6</v>
      </c>
      <c r="J51" s="39">
        <f t="shared" si="2"/>
        <v>33.6</v>
      </c>
      <c r="K51" s="39">
        <f t="shared" si="2"/>
        <v>43.6</v>
      </c>
      <c r="L51" s="23"/>
    </row>
    <row r="52" spans="1:12" ht="15.75" x14ac:dyDescent="0.2">
      <c r="A52" s="28"/>
      <c r="B52" s="117"/>
      <c r="C52" s="117"/>
      <c r="D52" s="47" t="s">
        <v>322</v>
      </c>
      <c r="E52" s="26"/>
      <c r="F52" s="26"/>
      <c r="G52" s="26"/>
      <c r="H52" s="26"/>
      <c r="I52" s="26"/>
      <c r="J52" s="26"/>
      <c r="K52" s="27"/>
      <c r="L52" s="23" t="s">
        <v>323</v>
      </c>
    </row>
    <row r="53" spans="1:12" ht="6.75" customHeight="1" x14ac:dyDescent="0.2">
      <c r="A53" s="28"/>
      <c r="B53" s="85"/>
      <c r="C53" s="86"/>
      <c r="D53" s="46"/>
      <c r="E53" s="36"/>
      <c r="F53" s="36"/>
      <c r="G53" s="36"/>
      <c r="H53" s="36"/>
      <c r="I53" s="36"/>
      <c r="J53" s="36"/>
      <c r="K53" s="37"/>
      <c r="L53" s="33"/>
    </row>
    <row r="54" spans="1:12" ht="48.75" customHeight="1" x14ac:dyDescent="0.2">
      <c r="A54" s="28"/>
      <c r="B54" s="117" t="s">
        <v>254</v>
      </c>
      <c r="C54" s="117" t="s">
        <v>328</v>
      </c>
      <c r="D54" s="44" t="s">
        <v>337</v>
      </c>
      <c r="E54" s="26">
        <v>1.2</v>
      </c>
      <c r="F54" s="26">
        <v>1.2</v>
      </c>
      <c r="G54" s="26">
        <v>1.2</v>
      </c>
      <c r="H54" s="26">
        <v>1.2</v>
      </c>
      <c r="I54" s="26">
        <v>1.2</v>
      </c>
      <c r="J54" s="26">
        <v>1.2</v>
      </c>
      <c r="K54" s="26">
        <v>1.2</v>
      </c>
      <c r="L54" s="23" t="s">
        <v>284</v>
      </c>
    </row>
    <row r="55" spans="1:12" ht="16.5" customHeight="1" x14ac:dyDescent="0.2">
      <c r="A55" s="28"/>
      <c r="B55" s="117"/>
      <c r="C55" s="117"/>
      <c r="D55" s="38" t="s">
        <v>69</v>
      </c>
      <c r="E55" s="26">
        <v>7</v>
      </c>
      <c r="F55" s="26">
        <v>7</v>
      </c>
      <c r="G55" s="26">
        <v>7</v>
      </c>
      <c r="H55" s="26">
        <v>7</v>
      </c>
      <c r="I55" s="26">
        <v>7</v>
      </c>
      <c r="J55" s="26">
        <v>7</v>
      </c>
      <c r="K55" s="26">
        <v>7</v>
      </c>
      <c r="L55" s="23" t="s">
        <v>285</v>
      </c>
    </row>
    <row r="56" spans="1:12" ht="33" customHeight="1" x14ac:dyDescent="0.2">
      <c r="A56" s="28"/>
      <c r="B56" s="117"/>
      <c r="C56" s="117"/>
      <c r="D56" s="44" t="s">
        <v>70</v>
      </c>
      <c r="E56" s="26">
        <v>3</v>
      </c>
      <c r="F56" s="26">
        <v>3</v>
      </c>
      <c r="G56" s="26">
        <v>3</v>
      </c>
      <c r="H56" s="26">
        <v>3</v>
      </c>
      <c r="I56" s="26">
        <v>3</v>
      </c>
      <c r="J56" s="26">
        <v>3</v>
      </c>
      <c r="K56" s="26">
        <v>3</v>
      </c>
      <c r="L56" s="23" t="s">
        <v>280</v>
      </c>
    </row>
    <row r="57" spans="1:12" ht="53.25" customHeight="1" x14ac:dyDescent="0.2">
      <c r="A57" s="28"/>
      <c r="B57" s="117"/>
      <c r="C57" s="117"/>
      <c r="D57" s="44" t="s">
        <v>338</v>
      </c>
      <c r="E57" s="26">
        <v>14.4</v>
      </c>
      <c r="F57" s="26">
        <v>14.4</v>
      </c>
      <c r="G57" s="26">
        <v>14.4</v>
      </c>
      <c r="H57" s="26">
        <v>14.4</v>
      </c>
      <c r="I57" s="26">
        <v>14.4</v>
      </c>
      <c r="J57" s="26">
        <v>14.4</v>
      </c>
      <c r="K57" s="26">
        <v>14.4</v>
      </c>
      <c r="L57" s="23" t="s">
        <v>273</v>
      </c>
    </row>
    <row r="58" spans="1:12" ht="47.25" x14ac:dyDescent="0.2">
      <c r="A58" s="28"/>
      <c r="B58" s="117"/>
      <c r="C58" s="117"/>
      <c r="D58" s="44" t="s">
        <v>339</v>
      </c>
      <c r="E58" s="26">
        <v>16</v>
      </c>
      <c r="F58" s="26">
        <v>13</v>
      </c>
      <c r="G58" s="26">
        <v>10</v>
      </c>
      <c r="H58" s="26">
        <v>8</v>
      </c>
      <c r="I58" s="26">
        <v>13</v>
      </c>
      <c r="J58" s="26">
        <v>10</v>
      </c>
      <c r="K58" s="27">
        <v>20</v>
      </c>
      <c r="L58" s="23" t="s">
        <v>286</v>
      </c>
    </row>
    <row r="59" spans="1:12" ht="35.25" customHeight="1" x14ac:dyDescent="0.2">
      <c r="A59" s="28"/>
      <c r="B59" s="117"/>
      <c r="C59" s="117"/>
      <c r="D59" s="44" t="s">
        <v>340</v>
      </c>
      <c r="E59" s="26">
        <v>2</v>
      </c>
      <c r="F59" s="26">
        <v>2</v>
      </c>
      <c r="G59" s="26">
        <v>2</v>
      </c>
      <c r="H59" s="26">
        <v>2</v>
      </c>
      <c r="I59" s="26">
        <v>2</v>
      </c>
      <c r="J59" s="26">
        <v>2</v>
      </c>
      <c r="K59" s="26">
        <v>2</v>
      </c>
      <c r="L59" s="23" t="s">
        <v>299</v>
      </c>
    </row>
    <row r="60" spans="1:12" ht="47.25" x14ac:dyDescent="0.2">
      <c r="A60" s="28"/>
      <c r="B60" s="117"/>
      <c r="C60" s="117"/>
      <c r="D60" s="44" t="s">
        <v>341</v>
      </c>
      <c r="E60" s="26">
        <v>4</v>
      </c>
      <c r="F60" s="26">
        <v>4</v>
      </c>
      <c r="G60" s="26">
        <v>4</v>
      </c>
      <c r="H60" s="26">
        <v>4</v>
      </c>
      <c r="I60" s="26"/>
      <c r="J60" s="26"/>
      <c r="K60" s="27"/>
      <c r="L60" s="23" t="s">
        <v>283</v>
      </c>
    </row>
    <row r="61" spans="1:12" ht="31.5" x14ac:dyDescent="0.2">
      <c r="A61" s="28"/>
      <c r="B61" s="117"/>
      <c r="C61" s="117"/>
      <c r="D61" s="47" t="s">
        <v>321</v>
      </c>
      <c r="E61" s="39">
        <f>SUM(E54:E60)</f>
        <v>47.6</v>
      </c>
      <c r="F61" s="39">
        <f t="shared" ref="F61:J61" si="3">SUM(F54:F60)</f>
        <v>44.6</v>
      </c>
      <c r="G61" s="39">
        <f t="shared" si="3"/>
        <v>41.6</v>
      </c>
      <c r="H61" s="39">
        <f t="shared" si="3"/>
        <v>39.6</v>
      </c>
      <c r="I61" s="39">
        <f t="shared" si="3"/>
        <v>40.6</v>
      </c>
      <c r="J61" s="39">
        <f t="shared" si="3"/>
        <v>37.6</v>
      </c>
      <c r="K61" s="39">
        <f>SUM(K54:K60)</f>
        <v>47.6</v>
      </c>
      <c r="L61" s="23"/>
    </row>
    <row r="62" spans="1:12" ht="15.75" x14ac:dyDescent="0.2">
      <c r="A62" s="28"/>
      <c r="B62" s="117"/>
      <c r="C62" s="117"/>
      <c r="D62" s="47" t="s">
        <v>329</v>
      </c>
      <c r="E62" s="26"/>
      <c r="F62" s="26"/>
      <c r="G62" s="26"/>
      <c r="H62" s="26"/>
      <c r="I62" s="26"/>
      <c r="J62" s="26"/>
      <c r="K62" s="27"/>
      <c r="L62" s="23" t="s">
        <v>323</v>
      </c>
    </row>
    <row r="63" spans="1:12" ht="6.75" customHeight="1" x14ac:dyDescent="0.2">
      <c r="A63" s="28"/>
      <c r="B63" s="85"/>
      <c r="C63" s="86"/>
      <c r="D63" s="46"/>
      <c r="E63" s="36"/>
      <c r="F63" s="36"/>
      <c r="G63" s="36"/>
      <c r="H63" s="36"/>
      <c r="I63" s="36"/>
      <c r="J63" s="36"/>
      <c r="K63" s="37"/>
      <c r="L63" s="33"/>
    </row>
    <row r="64" spans="1:12" ht="31.5" customHeight="1" x14ac:dyDescent="0.2">
      <c r="A64" s="28"/>
      <c r="B64" s="117" t="s">
        <v>255</v>
      </c>
      <c r="C64" s="118" t="s">
        <v>342</v>
      </c>
      <c r="D64" s="38" t="s">
        <v>343</v>
      </c>
      <c r="E64" s="80">
        <v>20</v>
      </c>
      <c r="F64" s="80">
        <v>20</v>
      </c>
      <c r="G64" s="80">
        <v>20</v>
      </c>
      <c r="H64" s="80">
        <v>20</v>
      </c>
      <c r="I64" s="80">
        <v>20</v>
      </c>
      <c r="J64" s="80">
        <v>20</v>
      </c>
      <c r="K64" s="80">
        <v>20</v>
      </c>
      <c r="L64" s="23" t="s">
        <v>37</v>
      </c>
    </row>
    <row r="65" spans="1:12" ht="21" customHeight="1" x14ac:dyDescent="0.2">
      <c r="A65" s="28"/>
      <c r="B65" s="117"/>
      <c r="C65" s="119"/>
      <c r="D65" s="38" t="s">
        <v>344</v>
      </c>
      <c r="E65" s="26">
        <v>25</v>
      </c>
      <c r="F65" s="26">
        <v>20</v>
      </c>
      <c r="G65" s="26">
        <v>15</v>
      </c>
      <c r="H65" s="26">
        <v>10</v>
      </c>
      <c r="I65" s="26">
        <v>20</v>
      </c>
      <c r="J65" s="26">
        <v>15</v>
      </c>
      <c r="K65" s="27">
        <v>28</v>
      </c>
      <c r="L65" s="23" t="s">
        <v>272</v>
      </c>
    </row>
    <row r="66" spans="1:12" ht="31.5" x14ac:dyDescent="0.2">
      <c r="A66" s="28"/>
      <c r="B66" s="117"/>
      <c r="C66" s="119"/>
      <c r="D66" s="38" t="s">
        <v>371</v>
      </c>
      <c r="E66" s="26">
        <v>10</v>
      </c>
      <c r="F66" s="26">
        <v>10</v>
      </c>
      <c r="G66" s="26">
        <v>8</v>
      </c>
      <c r="H66" s="26">
        <v>6</v>
      </c>
      <c r="I66" s="26">
        <v>10</v>
      </c>
      <c r="J66" s="26">
        <v>10</v>
      </c>
      <c r="K66" s="27">
        <v>10</v>
      </c>
      <c r="L66" s="23" t="s">
        <v>37</v>
      </c>
    </row>
    <row r="67" spans="1:12" ht="31.5" x14ac:dyDescent="0.2">
      <c r="A67" s="28"/>
      <c r="B67" s="117"/>
      <c r="C67" s="119"/>
      <c r="D67" s="38" t="s">
        <v>345</v>
      </c>
      <c r="E67" s="26">
        <v>1</v>
      </c>
      <c r="F67" s="26">
        <v>1</v>
      </c>
      <c r="G67" s="26">
        <v>1</v>
      </c>
      <c r="H67" s="26">
        <v>1</v>
      </c>
      <c r="I67" s="26">
        <v>1</v>
      </c>
      <c r="J67" s="26">
        <v>1</v>
      </c>
      <c r="K67" s="26">
        <v>1</v>
      </c>
      <c r="L67" s="23" t="s">
        <v>291</v>
      </c>
    </row>
    <row r="68" spans="1:12" ht="31.5" x14ac:dyDescent="0.2">
      <c r="A68" s="28"/>
      <c r="B68" s="117"/>
      <c r="C68" s="119"/>
      <c r="D68" s="38" t="s">
        <v>346</v>
      </c>
      <c r="E68" s="26">
        <v>25.2</v>
      </c>
      <c r="F68" s="26">
        <v>25.2</v>
      </c>
      <c r="G68" s="26">
        <v>25.2</v>
      </c>
      <c r="H68" s="26">
        <v>25.2</v>
      </c>
      <c r="I68" s="26">
        <v>25.2</v>
      </c>
      <c r="J68" s="26">
        <v>25.2</v>
      </c>
      <c r="K68" s="26">
        <v>25.2</v>
      </c>
      <c r="L68" s="23" t="s">
        <v>273</v>
      </c>
    </row>
    <row r="69" spans="1:12" ht="50.25" customHeight="1" x14ac:dyDescent="0.2">
      <c r="A69" s="28"/>
      <c r="B69" s="117"/>
      <c r="C69" s="119"/>
      <c r="D69" s="38" t="s">
        <v>347</v>
      </c>
      <c r="E69" s="26">
        <v>1.2</v>
      </c>
      <c r="F69" s="26">
        <v>1.2</v>
      </c>
      <c r="G69" s="26">
        <v>1.2</v>
      </c>
      <c r="H69" s="26">
        <v>1.2</v>
      </c>
      <c r="I69" s="26">
        <v>1.2</v>
      </c>
      <c r="J69" s="26">
        <v>1.2</v>
      </c>
      <c r="K69" s="26">
        <v>1.2</v>
      </c>
      <c r="L69" s="23" t="s">
        <v>274</v>
      </c>
    </row>
    <row r="70" spans="1:12" ht="32.25" customHeight="1" x14ac:dyDescent="0.2">
      <c r="A70" s="28"/>
      <c r="B70" s="117"/>
      <c r="C70" s="119"/>
      <c r="D70" s="38" t="s">
        <v>348</v>
      </c>
      <c r="E70" s="26">
        <v>6</v>
      </c>
      <c r="F70" s="26">
        <v>6</v>
      </c>
      <c r="G70" s="26">
        <v>6</v>
      </c>
      <c r="H70" s="26">
        <v>6</v>
      </c>
      <c r="I70" s="26">
        <v>6</v>
      </c>
      <c r="J70" s="26">
        <v>6</v>
      </c>
      <c r="K70" s="26">
        <v>6</v>
      </c>
      <c r="L70" s="23" t="s">
        <v>273</v>
      </c>
    </row>
    <row r="71" spans="1:12" ht="32.25" customHeight="1" x14ac:dyDescent="0.2">
      <c r="A71" s="28"/>
      <c r="B71" s="117"/>
      <c r="C71" s="119"/>
      <c r="D71" s="42" t="s">
        <v>130</v>
      </c>
      <c r="E71" s="39">
        <f>SUM(E64:E70)</f>
        <v>88.4</v>
      </c>
      <c r="F71" s="39">
        <f t="shared" ref="F71:K71" si="4">SUM(F64:F70)</f>
        <v>83.4</v>
      </c>
      <c r="G71" s="39">
        <f t="shared" si="4"/>
        <v>76.400000000000006</v>
      </c>
      <c r="H71" s="39">
        <f t="shared" si="4"/>
        <v>69.400000000000006</v>
      </c>
      <c r="I71" s="39">
        <f t="shared" si="4"/>
        <v>83.4</v>
      </c>
      <c r="J71" s="39">
        <f t="shared" si="4"/>
        <v>78.400000000000006</v>
      </c>
      <c r="K71" s="39">
        <f t="shared" si="4"/>
        <v>91.4</v>
      </c>
      <c r="L71" s="23"/>
    </row>
    <row r="72" spans="1:12" ht="6" customHeight="1" x14ac:dyDescent="0.2">
      <c r="A72" s="18"/>
      <c r="B72" s="85"/>
      <c r="C72" s="85"/>
      <c r="D72" s="43"/>
      <c r="E72" s="36"/>
      <c r="F72" s="36"/>
      <c r="G72" s="36"/>
      <c r="H72" s="36"/>
      <c r="I72" s="36"/>
      <c r="J72" s="36"/>
      <c r="K72" s="37"/>
      <c r="L72" s="88"/>
    </row>
    <row r="73" spans="1:12" ht="33.75" customHeight="1" x14ac:dyDescent="0.2">
      <c r="A73" s="18"/>
      <c r="B73" s="117" t="s">
        <v>256</v>
      </c>
      <c r="C73" s="117" t="s">
        <v>349</v>
      </c>
      <c r="D73" s="44" t="s">
        <v>350</v>
      </c>
      <c r="E73" s="26">
        <v>20</v>
      </c>
      <c r="F73" s="26">
        <v>20</v>
      </c>
      <c r="G73" s="26">
        <v>20</v>
      </c>
      <c r="H73" s="26">
        <v>20</v>
      </c>
      <c r="I73" s="26">
        <v>20</v>
      </c>
      <c r="J73" s="26">
        <v>20</v>
      </c>
      <c r="K73" s="26">
        <v>20</v>
      </c>
      <c r="L73" s="90" t="s">
        <v>37</v>
      </c>
    </row>
    <row r="74" spans="1:12" ht="20.25" customHeight="1" x14ac:dyDescent="0.2">
      <c r="A74" s="18"/>
      <c r="B74" s="117"/>
      <c r="C74" s="117"/>
      <c r="D74" s="38" t="s">
        <v>351</v>
      </c>
      <c r="E74" s="26">
        <v>25</v>
      </c>
      <c r="F74" s="26">
        <v>20</v>
      </c>
      <c r="G74" s="26">
        <v>15</v>
      </c>
      <c r="H74" s="26">
        <v>10</v>
      </c>
      <c r="I74" s="26">
        <v>20</v>
      </c>
      <c r="J74" s="26">
        <v>15</v>
      </c>
      <c r="K74" s="27">
        <v>28</v>
      </c>
      <c r="L74" s="90" t="s">
        <v>272</v>
      </c>
    </row>
    <row r="75" spans="1:12" ht="32.25" customHeight="1" x14ac:dyDescent="0.2">
      <c r="A75" s="18"/>
      <c r="B75" s="117"/>
      <c r="C75" s="117"/>
      <c r="D75" s="44" t="s">
        <v>352</v>
      </c>
      <c r="E75" s="26">
        <v>10</v>
      </c>
      <c r="F75" s="26">
        <v>10</v>
      </c>
      <c r="G75" s="26">
        <v>8</v>
      </c>
      <c r="H75" s="26">
        <v>6</v>
      </c>
      <c r="I75" s="26">
        <v>10</v>
      </c>
      <c r="J75" s="26">
        <v>10</v>
      </c>
      <c r="K75" s="26">
        <v>10</v>
      </c>
      <c r="L75" s="90" t="s">
        <v>37</v>
      </c>
    </row>
    <row r="76" spans="1:12" ht="31.5" customHeight="1" x14ac:dyDescent="0.2">
      <c r="A76" s="18"/>
      <c r="B76" s="117"/>
      <c r="C76" s="117"/>
      <c r="D76" s="44" t="s">
        <v>353</v>
      </c>
      <c r="E76" s="26">
        <v>1</v>
      </c>
      <c r="F76" s="26">
        <v>1</v>
      </c>
      <c r="G76" s="26">
        <v>1</v>
      </c>
      <c r="H76" s="26">
        <v>1</v>
      </c>
      <c r="I76" s="26">
        <v>1</v>
      </c>
      <c r="J76" s="26">
        <v>1</v>
      </c>
      <c r="K76" s="26">
        <v>1</v>
      </c>
      <c r="L76" s="90" t="s">
        <v>291</v>
      </c>
    </row>
    <row r="77" spans="1:12" ht="31.5" customHeight="1" x14ac:dyDescent="0.2">
      <c r="A77" s="18"/>
      <c r="B77" s="117"/>
      <c r="C77" s="117"/>
      <c r="D77" s="44" t="s">
        <v>354</v>
      </c>
      <c r="E77" s="26">
        <v>25.2</v>
      </c>
      <c r="F77" s="26">
        <v>25.2</v>
      </c>
      <c r="G77" s="26">
        <v>25.2</v>
      </c>
      <c r="H77" s="26">
        <v>25.2</v>
      </c>
      <c r="I77" s="26">
        <v>25.2</v>
      </c>
      <c r="J77" s="26">
        <v>25.2</v>
      </c>
      <c r="K77" s="26">
        <v>25.2</v>
      </c>
      <c r="L77" s="90" t="s">
        <v>273</v>
      </c>
    </row>
    <row r="78" spans="1:12" ht="22.5" customHeight="1" x14ac:dyDescent="0.2">
      <c r="A78" s="18"/>
      <c r="B78" s="117"/>
      <c r="C78" s="117"/>
      <c r="D78" s="44" t="s">
        <v>355</v>
      </c>
      <c r="E78" s="26">
        <v>7</v>
      </c>
      <c r="F78" s="26">
        <v>7</v>
      </c>
      <c r="G78" s="26">
        <v>7</v>
      </c>
      <c r="H78" s="26">
        <v>7</v>
      </c>
      <c r="I78" s="26">
        <v>7</v>
      </c>
      <c r="J78" s="26">
        <v>7</v>
      </c>
      <c r="K78" s="26">
        <v>7</v>
      </c>
      <c r="L78" s="90" t="s">
        <v>292</v>
      </c>
    </row>
    <row r="79" spans="1:12" ht="47.25" customHeight="1" x14ac:dyDescent="0.2">
      <c r="A79" s="18"/>
      <c r="B79" s="117"/>
      <c r="C79" s="117"/>
      <c r="D79" s="44" t="s">
        <v>356</v>
      </c>
      <c r="E79" s="26">
        <v>1.2</v>
      </c>
      <c r="F79" s="26">
        <v>1.2</v>
      </c>
      <c r="G79" s="26">
        <v>1.2</v>
      </c>
      <c r="H79" s="26">
        <v>1.2</v>
      </c>
      <c r="I79" s="26">
        <v>1.2</v>
      </c>
      <c r="J79" s="26">
        <v>1.2</v>
      </c>
      <c r="K79" s="26">
        <v>1.2</v>
      </c>
      <c r="L79" s="90" t="s">
        <v>274</v>
      </c>
    </row>
    <row r="80" spans="1:12" ht="36" customHeight="1" x14ac:dyDescent="0.2">
      <c r="A80" s="18"/>
      <c r="B80" s="117"/>
      <c r="C80" s="117"/>
      <c r="D80" s="47" t="s">
        <v>357</v>
      </c>
      <c r="E80" s="39">
        <f>SUM(E73:E79)</f>
        <v>89.4</v>
      </c>
      <c r="F80" s="39">
        <f t="shared" ref="F80:K80" si="5">SUM(F73:F79)</f>
        <v>84.4</v>
      </c>
      <c r="G80" s="39">
        <f t="shared" si="5"/>
        <v>77.400000000000006</v>
      </c>
      <c r="H80" s="39">
        <f t="shared" si="5"/>
        <v>70.400000000000006</v>
      </c>
      <c r="I80" s="39">
        <f t="shared" si="5"/>
        <v>84.4</v>
      </c>
      <c r="J80" s="39">
        <f t="shared" si="5"/>
        <v>79.400000000000006</v>
      </c>
      <c r="K80" s="39">
        <f t="shared" si="5"/>
        <v>92.4</v>
      </c>
      <c r="L80" s="23"/>
    </row>
    <row r="81" spans="1:12" ht="6" customHeight="1" x14ac:dyDescent="0.2">
      <c r="A81" s="18"/>
      <c r="B81" s="85"/>
      <c r="C81" s="87"/>
      <c r="D81" s="47"/>
      <c r="E81" s="39"/>
      <c r="F81" s="39"/>
      <c r="G81" s="39"/>
      <c r="H81" s="39"/>
      <c r="I81" s="39"/>
      <c r="J81" s="39"/>
      <c r="K81" s="40"/>
      <c r="L81" s="23"/>
    </row>
    <row r="82" spans="1:12" ht="35.25" customHeight="1" x14ac:dyDescent="0.2">
      <c r="A82" s="18"/>
      <c r="B82" s="117" t="s">
        <v>257</v>
      </c>
      <c r="C82" s="118" t="s">
        <v>358</v>
      </c>
      <c r="D82" s="44" t="s">
        <v>360</v>
      </c>
      <c r="E82" s="26">
        <v>16</v>
      </c>
      <c r="F82" s="26">
        <v>13</v>
      </c>
      <c r="G82" s="26">
        <v>10</v>
      </c>
      <c r="H82" s="26">
        <v>8</v>
      </c>
      <c r="I82" s="26">
        <v>13</v>
      </c>
      <c r="J82" s="26">
        <v>10</v>
      </c>
      <c r="K82" s="27">
        <v>20</v>
      </c>
      <c r="L82" s="23" t="s">
        <v>286</v>
      </c>
    </row>
    <row r="83" spans="1:12" ht="31.5" x14ac:dyDescent="0.2">
      <c r="A83" s="18"/>
      <c r="B83" s="117"/>
      <c r="C83" s="119"/>
      <c r="D83" s="44" t="s">
        <v>361</v>
      </c>
      <c r="E83" s="26">
        <v>1</v>
      </c>
      <c r="F83" s="26">
        <v>1</v>
      </c>
      <c r="G83" s="26">
        <v>1</v>
      </c>
      <c r="H83" s="26">
        <v>1</v>
      </c>
      <c r="I83" s="26">
        <v>1</v>
      </c>
      <c r="J83" s="26">
        <v>1</v>
      </c>
      <c r="K83" s="26">
        <v>1</v>
      </c>
      <c r="L83" s="23" t="s">
        <v>297</v>
      </c>
    </row>
    <row r="84" spans="1:12" ht="31.5" x14ac:dyDescent="0.2">
      <c r="A84" s="18"/>
      <c r="B84" s="117"/>
      <c r="C84" s="119"/>
      <c r="D84" s="44" t="s">
        <v>362</v>
      </c>
      <c r="E84" s="26">
        <v>14.4</v>
      </c>
      <c r="F84" s="26">
        <v>14.4</v>
      </c>
      <c r="G84" s="26">
        <v>14.4</v>
      </c>
      <c r="H84" s="26">
        <v>14.4</v>
      </c>
      <c r="I84" s="26">
        <v>14.4</v>
      </c>
      <c r="J84" s="26">
        <v>14.4</v>
      </c>
      <c r="K84" s="26">
        <v>14.4</v>
      </c>
      <c r="L84" s="23" t="s">
        <v>273</v>
      </c>
    </row>
    <row r="85" spans="1:12" ht="47.25" x14ac:dyDescent="0.2">
      <c r="A85" s="18"/>
      <c r="B85" s="117"/>
      <c r="C85" s="119"/>
      <c r="D85" s="44" t="s">
        <v>363</v>
      </c>
      <c r="E85" s="26">
        <v>1.2</v>
      </c>
      <c r="F85" s="26">
        <v>1.2</v>
      </c>
      <c r="G85" s="26">
        <v>1.2</v>
      </c>
      <c r="H85" s="26">
        <v>1.2</v>
      </c>
      <c r="I85" s="26">
        <v>1.2</v>
      </c>
      <c r="J85" s="26">
        <v>1.2</v>
      </c>
      <c r="K85" s="26">
        <v>1.2</v>
      </c>
      <c r="L85" s="23" t="s">
        <v>274</v>
      </c>
    </row>
    <row r="86" spans="1:12" ht="31.5" x14ac:dyDescent="0.2">
      <c r="A86" s="18"/>
      <c r="B86" s="117"/>
      <c r="C86" s="119"/>
      <c r="D86" s="44" t="s">
        <v>364</v>
      </c>
      <c r="E86" s="26">
        <v>6</v>
      </c>
      <c r="F86" s="26">
        <v>6</v>
      </c>
      <c r="G86" s="26">
        <v>6</v>
      </c>
      <c r="H86" s="26">
        <v>6</v>
      </c>
      <c r="I86" s="26">
        <v>6</v>
      </c>
      <c r="J86" s="26">
        <v>6</v>
      </c>
      <c r="K86" s="26">
        <v>6</v>
      </c>
      <c r="L86" s="23" t="s">
        <v>273</v>
      </c>
    </row>
    <row r="87" spans="1:12" ht="31.5" x14ac:dyDescent="0.2">
      <c r="A87" s="18"/>
      <c r="B87" s="117"/>
      <c r="C87" s="119"/>
      <c r="D87" s="47" t="s">
        <v>357</v>
      </c>
      <c r="E87" s="39">
        <f>SUM(E82:E86)</f>
        <v>38.6</v>
      </c>
      <c r="F87" s="39">
        <f t="shared" ref="F87:K87" si="6">SUM(F82:F86)</f>
        <v>35.599999999999994</v>
      </c>
      <c r="G87" s="39">
        <f t="shared" si="6"/>
        <v>32.599999999999994</v>
      </c>
      <c r="H87" s="39">
        <f t="shared" si="6"/>
        <v>30.599999999999998</v>
      </c>
      <c r="I87" s="39">
        <f t="shared" si="6"/>
        <v>35.599999999999994</v>
      </c>
      <c r="J87" s="39">
        <f t="shared" si="6"/>
        <v>32.599999999999994</v>
      </c>
      <c r="K87" s="39">
        <f t="shared" si="6"/>
        <v>42.6</v>
      </c>
      <c r="L87" s="23"/>
    </row>
    <row r="88" spans="1:12" ht="6" customHeight="1" x14ac:dyDescent="0.2">
      <c r="A88" s="18"/>
      <c r="B88" s="85"/>
      <c r="C88" s="85"/>
      <c r="D88" s="47"/>
      <c r="E88" s="39"/>
      <c r="F88" s="39"/>
      <c r="G88" s="39"/>
      <c r="H88" s="39"/>
      <c r="I88" s="39"/>
      <c r="J88" s="39"/>
      <c r="K88" s="40"/>
      <c r="L88" s="23"/>
    </row>
    <row r="89" spans="1:12" ht="35.25" customHeight="1" x14ac:dyDescent="0.2">
      <c r="A89" s="18"/>
      <c r="B89" s="117" t="s">
        <v>258</v>
      </c>
      <c r="C89" s="118" t="s">
        <v>359</v>
      </c>
      <c r="D89" s="44" t="s">
        <v>365</v>
      </c>
      <c r="E89" s="26">
        <v>16</v>
      </c>
      <c r="F89" s="26">
        <v>13</v>
      </c>
      <c r="G89" s="26">
        <v>10</v>
      </c>
      <c r="H89" s="26">
        <v>8</v>
      </c>
      <c r="I89" s="26">
        <v>13</v>
      </c>
      <c r="J89" s="26">
        <v>10</v>
      </c>
      <c r="K89" s="27">
        <v>20</v>
      </c>
      <c r="L89" s="23" t="s">
        <v>286</v>
      </c>
    </row>
    <row r="90" spans="1:12" ht="31.5" x14ac:dyDescent="0.2">
      <c r="A90" s="18"/>
      <c r="B90" s="117"/>
      <c r="C90" s="119"/>
      <c r="D90" s="44" t="s">
        <v>366</v>
      </c>
      <c r="E90" s="26">
        <v>1</v>
      </c>
      <c r="F90" s="26">
        <v>1</v>
      </c>
      <c r="G90" s="26">
        <v>1</v>
      </c>
      <c r="H90" s="26">
        <v>1</v>
      </c>
      <c r="I90" s="26">
        <v>1</v>
      </c>
      <c r="J90" s="26">
        <v>1</v>
      </c>
      <c r="K90" s="26">
        <v>1</v>
      </c>
      <c r="L90" s="23" t="s">
        <v>297</v>
      </c>
    </row>
    <row r="91" spans="1:12" ht="35.25" customHeight="1" x14ac:dyDescent="0.2">
      <c r="A91" s="18"/>
      <c r="B91" s="117"/>
      <c r="C91" s="119"/>
      <c r="D91" s="44" t="s">
        <v>367</v>
      </c>
      <c r="E91" s="26">
        <v>14.4</v>
      </c>
      <c r="F91" s="26">
        <v>14.4</v>
      </c>
      <c r="G91" s="26">
        <v>14.4</v>
      </c>
      <c r="H91" s="26">
        <v>14.4</v>
      </c>
      <c r="I91" s="26">
        <v>14.4</v>
      </c>
      <c r="J91" s="26">
        <v>14.4</v>
      </c>
      <c r="K91" s="26">
        <v>14.4</v>
      </c>
      <c r="L91" s="23" t="s">
        <v>273</v>
      </c>
    </row>
    <row r="92" spans="1:12" ht="15.75" x14ac:dyDescent="0.2">
      <c r="A92" s="18"/>
      <c r="B92" s="117"/>
      <c r="C92" s="119"/>
      <c r="D92" s="44" t="s">
        <v>368</v>
      </c>
      <c r="E92" s="26">
        <v>7</v>
      </c>
      <c r="F92" s="26">
        <v>7</v>
      </c>
      <c r="G92" s="26">
        <v>7</v>
      </c>
      <c r="H92" s="26">
        <v>7</v>
      </c>
      <c r="I92" s="26">
        <v>7</v>
      </c>
      <c r="J92" s="26">
        <v>7</v>
      </c>
      <c r="K92" s="26">
        <v>7</v>
      </c>
      <c r="L92" s="23" t="s">
        <v>292</v>
      </c>
    </row>
    <row r="93" spans="1:12" ht="47.25" x14ac:dyDescent="0.2">
      <c r="A93" s="18"/>
      <c r="B93" s="117"/>
      <c r="C93" s="119"/>
      <c r="D93" s="44" t="s">
        <v>369</v>
      </c>
      <c r="E93" s="26">
        <v>1.2</v>
      </c>
      <c r="F93" s="26">
        <v>1.2</v>
      </c>
      <c r="G93" s="26">
        <v>1.2</v>
      </c>
      <c r="H93" s="26">
        <v>1.2</v>
      </c>
      <c r="I93" s="26">
        <v>1.2</v>
      </c>
      <c r="J93" s="26">
        <v>1.2</v>
      </c>
      <c r="K93" s="26">
        <v>1.2</v>
      </c>
      <c r="L93" s="23" t="s">
        <v>370</v>
      </c>
    </row>
    <row r="94" spans="1:12" ht="31.5" x14ac:dyDescent="0.2">
      <c r="A94" s="18"/>
      <c r="B94" s="117"/>
      <c r="C94" s="119"/>
      <c r="D94" s="47" t="s">
        <v>357</v>
      </c>
      <c r="E94" s="39">
        <f>SUM(E89:E93)</f>
        <v>39.6</v>
      </c>
      <c r="F94" s="39">
        <f t="shared" ref="F94:K94" si="7">SUM(F89:F93)</f>
        <v>36.6</v>
      </c>
      <c r="G94" s="39">
        <f t="shared" si="7"/>
        <v>33.6</v>
      </c>
      <c r="H94" s="39">
        <f t="shared" si="7"/>
        <v>31.599999999999998</v>
      </c>
      <c r="I94" s="39">
        <f t="shared" si="7"/>
        <v>36.6</v>
      </c>
      <c r="J94" s="39">
        <f t="shared" si="7"/>
        <v>33.6</v>
      </c>
      <c r="K94" s="39">
        <f t="shared" si="7"/>
        <v>43.6</v>
      </c>
      <c r="L94" s="23"/>
    </row>
    <row r="95" spans="1:12" ht="6" customHeight="1" x14ac:dyDescent="0.2">
      <c r="A95" s="18"/>
      <c r="B95" s="85"/>
      <c r="C95" s="85"/>
      <c r="D95" s="47"/>
      <c r="E95" s="39"/>
      <c r="F95" s="39"/>
      <c r="G95" s="39"/>
      <c r="H95" s="39"/>
      <c r="I95" s="39"/>
      <c r="J95" s="39"/>
      <c r="K95" s="40"/>
      <c r="L95" s="23"/>
    </row>
    <row r="96" spans="1:12" x14ac:dyDescent="0.2">
      <c r="B96" s="17"/>
      <c r="C96" s="17"/>
      <c r="D96" s="17"/>
      <c r="E96" s="17"/>
      <c r="F96" s="17"/>
      <c r="G96" s="17"/>
      <c r="H96" s="17"/>
      <c r="I96" s="17"/>
      <c r="J96" s="17"/>
      <c r="K96" s="17"/>
    </row>
    <row r="97" spans="2:13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</row>
    <row r="98" spans="2:13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</row>
    <row r="99" spans="2:13" ht="18.75" x14ac:dyDescent="0.3">
      <c r="B99" s="65"/>
      <c r="C99" s="66" t="s">
        <v>192</v>
      </c>
      <c r="D99" s="66"/>
      <c r="E99" s="66"/>
      <c r="F99" s="67" t="s">
        <v>193</v>
      </c>
      <c r="G99" s="68" t="s">
        <v>194</v>
      </c>
      <c r="H99" s="66"/>
      <c r="I99" s="69"/>
      <c r="J99" s="69"/>
      <c r="K99" s="69"/>
      <c r="L99" s="69"/>
      <c r="M99" s="69"/>
    </row>
    <row r="100" spans="2:13" ht="18.75" x14ac:dyDescent="0.3">
      <c r="B100" s="65"/>
      <c r="C100" s="66"/>
      <c r="D100" s="66"/>
      <c r="E100" s="66"/>
      <c r="F100" s="67"/>
      <c r="G100" s="68"/>
      <c r="H100" s="66"/>
      <c r="I100" s="69"/>
      <c r="J100" s="69"/>
      <c r="K100" s="69"/>
      <c r="L100" s="69"/>
      <c r="M100" s="69"/>
    </row>
    <row r="101" spans="2:13" ht="18.75" customHeight="1" x14ac:dyDescent="0.3">
      <c r="B101" s="65"/>
      <c r="C101" s="122" t="s">
        <v>195</v>
      </c>
      <c r="D101" s="122"/>
      <c r="E101" s="66"/>
      <c r="F101" s="67" t="s">
        <v>193</v>
      </c>
      <c r="G101" s="68" t="s">
        <v>196</v>
      </c>
      <c r="H101" s="68"/>
      <c r="I101" s="70"/>
      <c r="J101" s="70"/>
      <c r="K101" s="70"/>
      <c r="L101" s="70"/>
      <c r="M101" s="70"/>
    </row>
    <row r="102" spans="2:13" ht="18.75" customHeight="1" x14ac:dyDescent="0.3">
      <c r="B102" s="65"/>
      <c r="C102" s="121"/>
      <c r="D102" s="121"/>
      <c r="E102" s="69"/>
      <c r="F102" s="67"/>
      <c r="G102" s="70"/>
      <c r="H102" s="121"/>
      <c r="I102" s="121"/>
      <c r="J102" s="121"/>
      <c r="K102" s="121"/>
      <c r="L102" s="121"/>
      <c r="M102" s="121"/>
    </row>
    <row r="103" spans="2:13" ht="18.75" customHeight="1" x14ac:dyDescent="0.3">
      <c r="B103" s="17"/>
      <c r="C103" s="79" t="s">
        <v>0</v>
      </c>
      <c r="D103" s="68"/>
      <c r="E103" s="68"/>
      <c r="F103" s="67"/>
      <c r="G103" s="68"/>
      <c r="H103" s="68"/>
      <c r="I103" s="68"/>
      <c r="J103" s="17"/>
      <c r="K103" s="17"/>
      <c r="M103" s="71"/>
    </row>
    <row r="104" spans="2:13" ht="18.75" customHeight="1" x14ac:dyDescent="0.3">
      <c r="B104" s="17"/>
      <c r="C104" s="66"/>
      <c r="D104" s="66" t="s">
        <v>198</v>
      </c>
      <c r="E104" s="66"/>
      <c r="F104" s="67" t="s">
        <v>193</v>
      </c>
      <c r="G104" s="68" t="s">
        <v>2</v>
      </c>
      <c r="H104" s="68"/>
      <c r="I104" s="68"/>
      <c r="J104" s="17"/>
      <c r="K104" s="17"/>
      <c r="M104" s="71"/>
    </row>
    <row r="105" spans="2:13" ht="18.75" customHeight="1" x14ac:dyDescent="0.3">
      <c r="C105" s="66"/>
      <c r="D105" s="66"/>
      <c r="E105" s="66"/>
      <c r="F105" s="67"/>
      <c r="G105" s="68"/>
      <c r="H105" s="68"/>
      <c r="I105" s="68"/>
      <c r="J105" s="17"/>
      <c r="K105" s="17"/>
      <c r="M105" s="71"/>
    </row>
    <row r="106" spans="2:13" ht="18.75" customHeight="1" x14ac:dyDescent="0.3">
      <c r="C106" s="78"/>
      <c r="D106" s="78" t="s">
        <v>199</v>
      </c>
      <c r="E106" s="68"/>
      <c r="F106" s="67" t="s">
        <v>193</v>
      </c>
      <c r="G106" s="68" t="s">
        <v>5</v>
      </c>
      <c r="H106" s="68"/>
      <c r="I106" s="68"/>
      <c r="J106" s="17"/>
      <c r="K106" s="17"/>
      <c r="M106" s="71"/>
    </row>
    <row r="107" spans="2:13" ht="18.75" customHeight="1" x14ac:dyDescent="0.2">
      <c r="C107" s="77"/>
      <c r="D107" s="77"/>
      <c r="E107" s="17"/>
      <c r="F107" s="17"/>
      <c r="G107" s="17"/>
      <c r="H107" s="17"/>
      <c r="I107" s="17"/>
      <c r="J107" s="17"/>
      <c r="K107" s="17"/>
      <c r="M107" s="71"/>
    </row>
  </sheetData>
  <mergeCells count="43">
    <mergeCell ref="B24:B32"/>
    <mergeCell ref="C24:C32"/>
    <mergeCell ref="B34:B43"/>
    <mergeCell ref="B16:L16"/>
    <mergeCell ref="B2:C2"/>
    <mergeCell ref="F2:L2"/>
    <mergeCell ref="B3:E3"/>
    <mergeCell ref="F3:L3"/>
    <mergeCell ref="F4:L4"/>
    <mergeCell ref="B5:D5"/>
    <mergeCell ref="F5:L5"/>
    <mergeCell ref="A11:L11"/>
    <mergeCell ref="B12:L12"/>
    <mergeCell ref="B13:L13"/>
    <mergeCell ref="B14:L14"/>
    <mergeCell ref="B15:L15"/>
    <mergeCell ref="B17:L17"/>
    <mergeCell ref="B18:L18"/>
    <mergeCell ref="B20:B23"/>
    <mergeCell ref="C20:C23"/>
    <mergeCell ref="D20:D23"/>
    <mergeCell ref="E20:K20"/>
    <mergeCell ref="L20:L23"/>
    <mergeCell ref="E21:H22"/>
    <mergeCell ref="I21:J21"/>
    <mergeCell ref="K21:K23"/>
    <mergeCell ref="I22:J22"/>
    <mergeCell ref="C34:C43"/>
    <mergeCell ref="B54:B62"/>
    <mergeCell ref="C54:C62"/>
    <mergeCell ref="B64:B71"/>
    <mergeCell ref="C64:C71"/>
    <mergeCell ref="B45:B52"/>
    <mergeCell ref="C45:C52"/>
    <mergeCell ref="C101:D101"/>
    <mergeCell ref="C102:D102"/>
    <mergeCell ref="H102:M102"/>
    <mergeCell ref="B73:B80"/>
    <mergeCell ref="C73:C80"/>
    <mergeCell ref="B82:B87"/>
    <mergeCell ref="C82:C87"/>
    <mergeCell ref="B89:B94"/>
    <mergeCell ref="C89:C94"/>
  </mergeCells>
  <printOptions horizontalCentered="1"/>
  <pageMargins left="0.23622047244094491" right="0.23622047244094491" top="0.15748031496062992" bottom="0.35433070866141736" header="0.31496062992125984" footer="0.31496062992125984"/>
  <pageSetup paperSize="9" scale="67" orientation="portrait" verticalDpi="0" r:id="rId1"/>
  <headerFooter alignWithMargins="0"/>
  <rowBreaks count="2" manualBreakCount="2">
    <brk id="43" max="11" man="1"/>
    <brk id="80" max="1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P11:Q18"/>
  <sheetViews>
    <sheetView workbookViewId="0">
      <selection activeCell="Q18" sqref="Q18"/>
    </sheetView>
  </sheetViews>
  <sheetFormatPr defaultRowHeight="15" x14ac:dyDescent="0.25"/>
  <sheetData>
    <row r="11" spans="16:17" x14ac:dyDescent="0.25">
      <c r="P11">
        <v>20</v>
      </c>
      <c r="Q11">
        <v>20</v>
      </c>
    </row>
    <row r="12" spans="16:17" x14ac:dyDescent="0.25">
      <c r="P12">
        <v>4</v>
      </c>
      <c r="Q12">
        <v>4</v>
      </c>
    </row>
    <row r="13" spans="16:17" x14ac:dyDescent="0.25">
      <c r="P13">
        <v>43</v>
      </c>
      <c r="Q13">
        <v>36</v>
      </c>
    </row>
    <row r="14" spans="16:17" x14ac:dyDescent="0.25">
      <c r="P14">
        <v>10</v>
      </c>
      <c r="Q14">
        <v>10</v>
      </c>
    </row>
    <row r="15" spans="16:17" x14ac:dyDescent="0.25">
      <c r="P15">
        <v>3.6</v>
      </c>
      <c r="Q15">
        <v>3.6</v>
      </c>
    </row>
    <row r="16" spans="16:17" x14ac:dyDescent="0.25">
      <c r="P16">
        <v>7</v>
      </c>
      <c r="Q16">
        <v>7</v>
      </c>
    </row>
    <row r="17" spans="16:17" x14ac:dyDescent="0.25">
      <c r="P17">
        <v>4.5</v>
      </c>
      <c r="Q17">
        <v>4.5</v>
      </c>
    </row>
    <row r="18" spans="16:17" x14ac:dyDescent="0.25">
      <c r="P18">
        <f>SUM(P11:P17)</f>
        <v>92.1</v>
      </c>
      <c r="Q18">
        <f>SUM(Q11:Q17)</f>
        <v>85.1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4</vt:i4>
      </vt:variant>
    </vt:vector>
  </HeadingPairs>
  <TitlesOfParts>
    <vt:vector size="11" baseType="lpstr">
      <vt:lpstr>Чернігів</vt:lpstr>
      <vt:lpstr>Ніжин</vt:lpstr>
      <vt:lpstr>Борщагівка</vt:lpstr>
      <vt:lpstr>Конотоп</vt:lpstr>
      <vt:lpstr>Лист1</vt:lpstr>
      <vt:lpstr>Лист2</vt:lpstr>
      <vt:lpstr>Лист3</vt:lpstr>
      <vt:lpstr>Борщагівка!Область_печати</vt:lpstr>
      <vt:lpstr>Конотоп!Область_печати</vt:lpstr>
      <vt:lpstr>Ніжин!Область_печати</vt:lpstr>
      <vt:lpstr>Чернігів!Область_печати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2025-12-04T16:04:10Z</dcterms:modified>
</cp:coreProperties>
</file>